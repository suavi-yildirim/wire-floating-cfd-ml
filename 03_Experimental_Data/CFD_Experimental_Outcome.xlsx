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msfau-my.sharepoint.com/personal/mu17qosi_fauad_fau_de/Documents/Microsoft Teams Chat Files/"/>
    </mc:Choice>
  </mc:AlternateContent>
  <xr:revisionPtr revIDLastSave="178" documentId="13_ncr:1_{1BA8BB8D-1E00-FA48-B51F-051EADE8984B}" xr6:coauthVersionLast="47" xr6:coauthVersionMax="47" xr10:uidLastSave="{F6446979-6191-4217-AD45-458C8F627019}"/>
  <bookViews>
    <workbookView xWindow="0" yWindow="1160" windowWidth="28720" windowHeight="16820" xr2:uid="{20246CFB-6C29-354E-8BFD-05B2AA72E84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G32" i="1"/>
  <c r="L32" i="1"/>
  <c r="N32" i="1"/>
  <c r="O32" i="1"/>
  <c r="S32" i="1"/>
  <c r="F32" i="1" s="1"/>
  <c r="E7" i="1"/>
  <c r="G7" i="1"/>
  <c r="L7" i="1"/>
  <c r="N7" i="1"/>
  <c r="O7" i="1"/>
  <c r="S7" i="1"/>
  <c r="F7" i="1" s="1"/>
  <c r="E2" i="1"/>
  <c r="E3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E40" i="1"/>
  <c r="E41" i="1"/>
  <c r="E42" i="1"/>
  <c r="E43" i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3" i="1"/>
  <c r="G34" i="1"/>
  <c r="G35" i="1"/>
  <c r="G36" i="1"/>
  <c r="G37" i="1"/>
  <c r="G38" i="1"/>
  <c r="G39" i="1"/>
  <c r="G40" i="1"/>
  <c r="G41" i="1"/>
  <c r="G42" i="1"/>
  <c r="G43" i="1"/>
  <c r="G2" i="1"/>
  <c r="S5" i="1"/>
  <c r="F5" i="1" s="1"/>
  <c r="S6" i="1"/>
  <c r="F6" i="1" s="1"/>
  <c r="S8" i="1"/>
  <c r="F8" i="1" s="1"/>
  <c r="S9" i="1"/>
  <c r="F9" i="1" s="1"/>
  <c r="S10" i="1"/>
  <c r="F10" i="1" s="1"/>
  <c r="S11" i="1"/>
  <c r="F11" i="1" s="1"/>
  <c r="S12" i="1"/>
  <c r="F12" i="1" s="1"/>
  <c r="S13" i="1"/>
  <c r="F13" i="1" s="1"/>
  <c r="S14" i="1"/>
  <c r="F14" i="1" s="1"/>
  <c r="S15" i="1"/>
  <c r="F15" i="1" s="1"/>
  <c r="S16" i="1"/>
  <c r="F16" i="1" s="1"/>
  <c r="S17" i="1"/>
  <c r="F17" i="1" s="1"/>
  <c r="S18" i="1"/>
  <c r="F18" i="1" s="1"/>
  <c r="S19" i="1"/>
  <c r="F19" i="1" s="1"/>
  <c r="S20" i="1"/>
  <c r="F20" i="1" s="1"/>
  <c r="S21" i="1"/>
  <c r="F21" i="1" s="1"/>
  <c r="S22" i="1"/>
  <c r="F22" i="1" s="1"/>
  <c r="S23" i="1"/>
  <c r="F23" i="1" s="1"/>
  <c r="S24" i="1"/>
  <c r="F24" i="1" s="1"/>
  <c r="S25" i="1"/>
  <c r="F25" i="1" s="1"/>
  <c r="S26" i="1"/>
  <c r="F26" i="1" s="1"/>
  <c r="S27" i="1"/>
  <c r="F27" i="1" s="1"/>
  <c r="S28" i="1"/>
  <c r="F28" i="1" s="1"/>
  <c r="S29" i="1"/>
  <c r="F29" i="1" s="1"/>
  <c r="S30" i="1"/>
  <c r="F30" i="1" s="1"/>
  <c r="S31" i="1"/>
  <c r="F31" i="1" s="1"/>
  <c r="S33" i="1"/>
  <c r="F33" i="1" s="1"/>
  <c r="S34" i="1"/>
  <c r="F34" i="1" s="1"/>
  <c r="S35" i="1"/>
  <c r="F35" i="1" s="1"/>
  <c r="S36" i="1"/>
  <c r="F36" i="1" s="1"/>
  <c r="S37" i="1"/>
  <c r="F37" i="1" s="1"/>
  <c r="S38" i="1"/>
  <c r="F38" i="1" s="1"/>
  <c r="S39" i="1"/>
  <c r="F39" i="1" s="1"/>
  <c r="S40" i="1"/>
  <c r="F40" i="1" s="1"/>
  <c r="S41" i="1"/>
  <c r="F41" i="1" s="1"/>
  <c r="S42" i="1"/>
  <c r="F42" i="1" s="1"/>
  <c r="S43" i="1"/>
  <c r="F43" i="1" s="1"/>
  <c r="S3" i="1"/>
  <c r="F3" i="1" s="1"/>
  <c r="S4" i="1"/>
  <c r="F4" i="1" s="1"/>
  <c r="S2" i="1"/>
  <c r="F2" i="1" s="1"/>
  <c r="O6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3" i="1"/>
  <c r="O34" i="1"/>
  <c r="O35" i="1"/>
  <c r="O36" i="1"/>
  <c r="O37" i="1"/>
  <c r="O38" i="1"/>
  <c r="O39" i="1"/>
  <c r="O40" i="1"/>
  <c r="O41" i="1"/>
  <c r="O42" i="1"/>
  <c r="O43" i="1"/>
  <c r="O3" i="1"/>
  <c r="O4" i="1"/>
  <c r="O5" i="1"/>
  <c r="N22" i="1"/>
  <c r="N23" i="1"/>
  <c r="N24" i="1"/>
  <c r="N25" i="1"/>
  <c r="N26" i="1"/>
  <c r="N27" i="1"/>
  <c r="N28" i="1"/>
  <c r="N29" i="1"/>
  <c r="N30" i="1"/>
  <c r="N31" i="1"/>
  <c r="N33" i="1"/>
  <c r="N34" i="1"/>
  <c r="N35" i="1"/>
  <c r="N36" i="1"/>
  <c r="N37" i="1"/>
  <c r="N38" i="1"/>
  <c r="N39" i="1"/>
  <c r="N40" i="1"/>
  <c r="N41" i="1"/>
  <c r="N42" i="1"/>
  <c r="N43" i="1"/>
  <c r="N20" i="1"/>
  <c r="N18" i="1"/>
  <c r="N16" i="1"/>
  <c r="N14" i="1"/>
  <c r="N12" i="1"/>
  <c r="N10" i="1"/>
  <c r="N8" i="1"/>
  <c r="N5" i="1"/>
  <c r="N3" i="1"/>
  <c r="O2" i="1"/>
  <c r="L43" i="1"/>
  <c r="L41" i="1"/>
  <c r="L39" i="1"/>
  <c r="L37" i="1"/>
  <c r="L35" i="1"/>
  <c r="L33" i="1"/>
  <c r="L30" i="1"/>
  <c r="L28" i="1"/>
  <c r="L26" i="1"/>
  <c r="L24" i="1"/>
  <c r="L22" i="1"/>
  <c r="L20" i="1"/>
  <c r="L18" i="1"/>
  <c r="L16" i="1"/>
  <c r="L14" i="1"/>
  <c r="L12" i="1"/>
  <c r="L10" i="1"/>
  <c r="L8" i="1"/>
  <c r="L5" i="1"/>
  <c r="L3" i="1"/>
  <c r="L29" i="1"/>
  <c r="L31" i="1"/>
  <c r="L34" i="1"/>
  <c r="L36" i="1"/>
  <c r="L38" i="1"/>
  <c r="L40" i="1"/>
  <c r="L42" i="1"/>
  <c r="L2" i="1"/>
  <c r="L4" i="1"/>
  <c r="L6" i="1"/>
  <c r="L9" i="1"/>
  <c r="L11" i="1"/>
  <c r="L13" i="1"/>
  <c r="L15" i="1"/>
  <c r="L17" i="1"/>
  <c r="L19" i="1"/>
  <c r="L21" i="1"/>
  <c r="L23" i="1"/>
  <c r="L25" i="1"/>
  <c r="N19" i="1"/>
  <c r="N4" i="1"/>
  <c r="N6" i="1"/>
  <c r="N9" i="1"/>
  <c r="N11" i="1"/>
  <c r="N13" i="1"/>
  <c r="N15" i="1"/>
  <c r="N17" i="1"/>
  <c r="N21" i="1"/>
  <c r="N2" i="1"/>
  <c r="L27" i="1"/>
</calcChain>
</file>

<file path=xl/sharedStrings.xml><?xml version="1.0" encoding="utf-8"?>
<sst xmlns="http://schemas.openxmlformats.org/spreadsheetml/2006/main" count="108" uniqueCount="73">
  <si>
    <t>ID</t>
  </si>
  <si>
    <t>Wire_UID</t>
  </si>
  <si>
    <t>Colour</t>
  </si>
  <si>
    <t>Wire_Length[m]</t>
  </si>
  <si>
    <t>Stable_Average_Pressure[Pa]</t>
  </si>
  <si>
    <t>CFD_Mass_Flow_Target[kg/s]</t>
  </si>
  <si>
    <t>Wire_Weight[N]</t>
  </si>
  <si>
    <t>Wire _Cross_Section[mm^2]</t>
  </si>
  <si>
    <t>Wire_OD[mm]</t>
  </si>
  <si>
    <t>Ferrule_OD[mm]</t>
  </si>
  <si>
    <t>Wire_Mass[g]</t>
  </si>
  <si>
    <t>Wire_Unit_Weight[N/m]</t>
  </si>
  <si>
    <t>Tube_Diameter[mm]</t>
  </si>
  <si>
    <t>Annular_Free_Area[mm^2]</t>
  </si>
  <si>
    <t>Blockage_Ratio</t>
  </si>
  <si>
    <t>Stable_Average_Pressure[mbar]</t>
  </si>
  <si>
    <t>Stable_Average_Flow[Nm^3/h]</t>
  </si>
  <si>
    <t>Operating_Temperature[C]</t>
  </si>
  <si>
    <t>Air_Density</t>
  </si>
  <si>
    <t>Static_Pressure[mbar]</t>
  </si>
  <si>
    <t>Pressure_Validation_Error</t>
  </si>
  <si>
    <t>Air_Velocity_Wire[m/s]</t>
  </si>
  <si>
    <t>Total_Drag_Force[N]</t>
  </si>
  <si>
    <t>Unit_Drag_Force[N/m]</t>
  </si>
  <si>
    <t>Force_Weight_Validation_Error</t>
  </si>
  <si>
    <t>WC08_UID01</t>
  </si>
  <si>
    <t>Orange</t>
  </si>
  <si>
    <t>WC10_UID01</t>
  </si>
  <si>
    <t>WC08_UID02</t>
  </si>
  <si>
    <t>WC10_UID02</t>
  </si>
  <si>
    <t>WC08_UID03</t>
  </si>
  <si>
    <t>WC10_UID03</t>
  </si>
  <si>
    <t>WC08_UID04</t>
  </si>
  <si>
    <t>WC10_UID04</t>
  </si>
  <si>
    <t>WC08_UID05</t>
  </si>
  <si>
    <t>Blue</t>
  </si>
  <si>
    <t>WC10_UID05</t>
  </si>
  <si>
    <t>WC08_UID06</t>
  </si>
  <si>
    <t>WC10_UID06</t>
  </si>
  <si>
    <t>WC08_UID07</t>
  </si>
  <si>
    <t>WC10_UID07</t>
  </si>
  <si>
    <t>WC08_UID08</t>
  </si>
  <si>
    <t>WC10_UID08</t>
  </si>
  <si>
    <t>WC08_UID09</t>
  </si>
  <si>
    <t>Yellow</t>
  </si>
  <si>
    <t>WC10_UID09</t>
  </si>
  <si>
    <t>WC08_UID10</t>
  </si>
  <si>
    <t>WC10_UID10</t>
  </si>
  <si>
    <t>WC08_UID11</t>
  </si>
  <si>
    <t>WC10_UID11</t>
  </si>
  <si>
    <t>WC08_UID12</t>
  </si>
  <si>
    <t>WC10_UID12</t>
  </si>
  <si>
    <t>WC08_UID17</t>
  </si>
  <si>
    <t>Purple</t>
  </si>
  <si>
    <t>WC10_UID17</t>
  </si>
  <si>
    <t>WC08_UID18</t>
  </si>
  <si>
    <t>WC10_UID18</t>
  </si>
  <si>
    <t>WC08_UID19</t>
  </si>
  <si>
    <t>WC10_UID19</t>
  </si>
  <si>
    <t>WC08_UID20</t>
  </si>
  <si>
    <t>WC10_UID20</t>
  </si>
  <si>
    <t>WC08_UID21</t>
  </si>
  <si>
    <t>Red</t>
  </si>
  <si>
    <t>WC10_UID21</t>
  </si>
  <si>
    <t>WC08_UID22</t>
  </si>
  <si>
    <t>WC10_UID22</t>
  </si>
  <si>
    <t>WC08_UID23</t>
  </si>
  <si>
    <t>WC10_UID23</t>
  </si>
  <si>
    <t>WC08_UID24</t>
  </si>
  <si>
    <t>WC10_UID24</t>
  </si>
  <si>
    <t>Silencer</t>
  </si>
  <si>
    <t>Inertial Resistance</t>
  </si>
  <si>
    <t>Viscous 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</si>
</sst>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"/>
  </numFmts>
  <fonts count="6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indent="7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2" fontId="4" fillId="0" borderId="0" xfId="0" applyNumberFormat="1" applyFont="1" applyAlignment="1">
      <alignment horizontal="left" indent="7"/>
    </xf>
    <xf numFmtId="165" fontId="0" fillId="0" borderId="0" xfId="0" applyNumberForma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2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0.00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7" justifyLastLine="0" shrinkToFit="0" readingOrder="0"/>
    </dxf>
    <dxf>
      <font>
        <b/>
      </font>
      <numFmt numFmtId="2" formatCode="0.00"/>
      <alignment horizontal="left" vertical="bottom" textRotation="0" wrapText="0" indent="7" justifyLastLine="0" shrinkToFit="0" readingOrder="0"/>
    </dxf>
    <dxf>
      <numFmt numFmtId="2" formatCode="0.00"/>
      <alignment horizontal="left" vertical="bottom" textRotation="0" wrapText="0" indent="7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0.00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font>
        <b/>
      </font>
      <numFmt numFmtId="164" formatCode="0.0000"/>
      <alignment horizontal="left" vertical="center" textRotation="0" wrapText="0" indent="0" justifyLastLine="0" shrinkToFit="0" readingOrder="0"/>
    </dxf>
    <dxf>
      <font>
        <b/>
      </font>
      <numFmt numFmtId="165" formatCode="0.000000"/>
      <alignment horizontal="left" vertical="center" textRotation="0" wrapText="0" indent="0" justifyLastLine="0" shrinkToFit="0" readingOrder="0"/>
    </dxf>
    <dxf>
      <font>
        <b/>
      </font>
      <numFmt numFmtId="2" formatCode="0.00"/>
      <alignment horizontal="left" vertical="bottom" textRotation="0" wrapText="0" indent="7" justifyLastLine="0" shrinkToFit="0" readingOrder="0"/>
    </dxf>
    <dxf>
      <numFmt numFmtId="166" formatCode="0.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FC75-9AA1-6947-93CB-7278CDEEB8F5}" name="Table2" displayName="Table2" ref="A1:Y43" totalsRowShown="0" headerRowDxfId="26" dataDxfId="25">
  <autoFilter ref="A1:Y43" xr:uid="{0130FC75-9AA1-6947-93CB-7278CDEEB8F5}"/>
  <tableColumns count="25">
    <tableColumn id="1" xr3:uid="{42288DA8-C265-764C-A9DF-6BC34090F7E2}" name="ID" dataDxfId="24"/>
    <tableColumn id="2" xr3:uid="{8337A352-3E3F-7B46-8F50-A283663FC324}" name="Wire_UID" dataDxfId="23"/>
    <tableColumn id="3" xr3:uid="{7E92B473-3606-984B-A27B-61756CCEE09A}" name="Colour" dataDxfId="22"/>
    <tableColumn id="4" xr3:uid="{2C71E283-A764-FB4C-AB2E-4198773D20E9}" name="Wire_Length[m]" dataDxfId="21"/>
    <tableColumn id="25" xr3:uid="{4420ACBB-E55E-7341-A23F-3A9C43243D6F}" name="Stable_Average_Pressure[Pa]" dataDxfId="20">
      <calculatedColumnFormula>Table2[[#This Row],[Stable_Average_Pressure'[mbar']]]*100</calculatedColumnFormula>
    </tableColumn>
    <tableColumn id="18" xr3:uid="{4101166A-8EF0-0847-B8DF-D42D72F59018}" name="CFD_Mass_Flow_Target[kg/s]" dataDxfId="19">
      <calculatedColumnFormula>Q2*S2/3600</calculatedColumnFormula>
    </tableColumn>
    <tableColumn id="9" xr3:uid="{187BEAEB-C259-D141-89D8-5699A652EB38}" name="Wire_Weight[N]" dataDxfId="18">
      <calculatedColumnFormula>K2*9.81/1000</calculatedColumnFormula>
    </tableColumn>
    <tableColumn id="5" xr3:uid="{BE753A1B-516E-A446-A37F-1BCC6008612E}" name="Wire _Cross_Section[mm^2]" dataDxfId="17"/>
    <tableColumn id="6" xr3:uid="{C20DBCC9-696C-AA49-A888-BEF8566BF2A6}" name="Wire_OD[mm]" dataDxfId="16"/>
    <tableColumn id="7" xr3:uid="{C9971245-F605-FC4D-9BAF-8B9EF6510705}" name="Ferrule_OD[mm]" dataDxfId="15"/>
    <tableColumn id="8" xr3:uid="{91C4A896-5E87-084C-A122-42B1C736AB79}" name="Wire_Mass[g]" dataDxfId="14"/>
    <tableColumn id="10" xr3:uid="{0071C220-E566-CB46-A665-C7FE5840E92B}" name="Wire_Unit_Weight[N/m]" dataDxfId="13">
      <calculatedColumnFormula>K2/1000/D2</calculatedColumnFormula>
    </tableColumn>
    <tableColumn id="11" xr3:uid="{3E74B506-9613-7443-BAB4-66F912954671}" name="Tube_Diameter[mm]" dataDxfId="12"/>
    <tableColumn id="12" xr3:uid="{EB1DDAD8-8E5A-F047-A6DA-EAFAA68FA559}" name="Annular_Free_Area[mm^2]" dataDxfId="11">
      <calculatedColumnFormula>PI()*(M2/2)^2-PI()*(I2/2)^2</calculatedColumnFormula>
    </tableColumn>
    <tableColumn id="13" xr3:uid="{FE13C3E4-E4FF-D34E-919D-E0FDE4534B85}" name="Blockage_Ratio" dataDxfId="10">
      <calculatedColumnFormula>J2/M2</calculatedColumnFormula>
    </tableColumn>
    <tableColumn id="14" xr3:uid="{1276C622-A0A2-5D4B-8A8B-5712DF3B707D}" name="Stable_Average_Pressure[mbar]" dataDxfId="9"/>
    <tableColumn id="15" xr3:uid="{894F308F-CECA-B64F-8B9C-6945AC6C2716}" name="Stable_Average_Flow[Nm^3/h]" dataDxfId="8"/>
    <tableColumn id="16" xr3:uid="{33B6D734-E69D-CB4B-8E4E-0B2619EDAFD4}" name="Operating_Temperature[C]" dataDxfId="7"/>
    <tableColumn id="17" xr3:uid="{7C45991E-025F-5E49-B886-992006B05C7A}" name="Air_Density" dataDxfId="6">
      <calculatedColumnFormula>101325/(287.058*(273.15+R2))</calculatedColumnFormula>
    </tableColumn>
    <tableColumn id="19" xr3:uid="{CEE3004D-E08F-E44B-864F-01FCA027B008}" name="Static_Pressure[mbar]" dataDxfId="5"/>
    <tableColumn id="20" xr3:uid="{BFBD3251-D5A5-4C41-9384-34223F828335}" name="Pressure_Validation_Error" dataDxfId="4"/>
    <tableColumn id="21" xr3:uid="{4129FAFA-E611-CC40-99A0-66E3A88F8CAE}" name="Air_Velocity_Wire[m/s]" dataDxfId="3"/>
    <tableColumn id="22" xr3:uid="{3029C5C0-489F-9C48-BEE4-A58208A40789}" name="Total_Drag_Force[N]" dataDxfId="2"/>
    <tableColumn id="23" xr3:uid="{CC46141A-F582-1242-93B7-D51DBF92A107}" name="Unit_Drag_Force[N/m]" dataDxfId="1"/>
    <tableColumn id="24" xr3:uid="{A6096492-BE97-4046-AC95-1DEFDCC030DD}" name="Force_Weight_Validation_Error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C1FE-1F09-A449-9A46-3F32C0BA80ED}">
  <dimension ref="A1:Y48"/>
  <sheetViews>
    <sheetView tabSelected="1" zoomScale="81" zoomScaleNormal="113" workbookViewId="0">
      <pane ySplit="1" topLeftCell="A2" activePane="bottomLeft" state="frozen"/>
      <selection pane="bottomLeft" activeCell="A29" sqref="A29:XFD29"/>
      <selection activeCell="C1" sqref="C1"/>
    </sheetView>
  </sheetViews>
  <sheetFormatPr defaultColWidth="10.875" defaultRowHeight="15.75"/>
  <cols>
    <col min="1" max="1" width="15.875" style="1" customWidth="1"/>
    <col min="2" max="2" width="10.75" style="1" bestFit="1" customWidth="1"/>
    <col min="3" max="3" width="8.625" style="1" bestFit="1" customWidth="1"/>
    <col min="4" max="4" width="16.25" style="1" bestFit="1" customWidth="1"/>
    <col min="5" max="5" width="27.75" style="13" bestFit="1" customWidth="1"/>
    <col min="6" max="6" width="27.5" style="1" bestFit="1" customWidth="1"/>
    <col min="7" max="7" width="16.125" style="13" bestFit="1" customWidth="1"/>
    <col min="8" max="8" width="26.75" style="1" bestFit="1" customWidth="1"/>
    <col min="9" max="9" width="18.625" style="1" bestFit="1" customWidth="1"/>
    <col min="10" max="10" width="20.5" style="1" bestFit="1" customWidth="1"/>
    <col min="11" max="11" width="14.125" style="1" bestFit="1" customWidth="1"/>
    <col min="12" max="12" width="22.75" style="1" bestFit="1" customWidth="1"/>
    <col min="13" max="13" width="20.25" style="1" bestFit="1" customWidth="1"/>
    <col min="14" max="14" width="23.875" style="1" bestFit="1" customWidth="1"/>
    <col min="15" max="15" width="14.875" style="1" bestFit="1" customWidth="1"/>
    <col min="16" max="16" width="30" style="1" bestFit="1" customWidth="1"/>
    <col min="17" max="17" width="22.375" style="1" customWidth="1"/>
    <col min="18" max="18" width="29" style="1" bestFit="1" customWidth="1"/>
    <col min="19" max="19" width="19.125" style="1" bestFit="1" customWidth="1"/>
    <col min="20" max="20" width="25.375" style="1" bestFit="1" customWidth="1"/>
    <col min="21" max="21" width="24.125" style="1" customWidth="1"/>
    <col min="22" max="22" width="22.125" style="1" customWidth="1"/>
    <col min="23" max="23" width="19.875" style="1" customWidth="1"/>
    <col min="24" max="24" width="21.375" style="1" customWidth="1"/>
    <col min="25" max="25" width="28" style="1" customWidth="1"/>
    <col min="26" max="16384" width="10.875" style="1"/>
  </cols>
  <sheetData>
    <row r="1" spans="1:25" s="8" customFormat="1">
      <c r="A1" s="8" t="s">
        <v>0</v>
      </c>
      <c r="B1" s="8" t="s">
        <v>1</v>
      </c>
      <c r="C1" s="8" t="s">
        <v>2</v>
      </c>
      <c r="D1" s="8" t="s">
        <v>3</v>
      </c>
      <c r="E1" s="13" t="s">
        <v>4</v>
      </c>
      <c r="F1" s="14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Q1" s="14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</row>
    <row r="2" spans="1:25">
      <c r="A2" s="3" t="s">
        <v>25</v>
      </c>
      <c r="B2" s="3">
        <v>1</v>
      </c>
      <c r="C2" s="3" t="s">
        <v>26</v>
      </c>
      <c r="D2" s="3">
        <v>0.5</v>
      </c>
      <c r="E2" s="16">
        <f>Table2[[#This Row],[Stable_Average_Pressure'[mbar']]]*100</f>
        <v>54533.1624451198</v>
      </c>
      <c r="F2" s="18">
        <f>Q2*S2/3600</f>
        <v>2.5764845704912358E-3</v>
      </c>
      <c r="G2" s="15">
        <f>K2*9.81/1000</f>
        <v>4.1202000000000003E-2</v>
      </c>
      <c r="H2" s="3">
        <v>0.5</v>
      </c>
      <c r="I2" s="3">
        <v>2.1</v>
      </c>
      <c r="J2" s="3">
        <v>2.9</v>
      </c>
      <c r="K2" s="3">
        <v>4.2</v>
      </c>
      <c r="L2" s="6">
        <f>K2/1000/D2</f>
        <v>8.4000000000000012E-3</v>
      </c>
      <c r="M2" s="3">
        <v>8</v>
      </c>
      <c r="N2" s="5">
        <f>PI()*(M2/2)^2-PI()*(I2/2)^2</f>
        <v>46.801876556853941</v>
      </c>
      <c r="O2" s="10">
        <f>J2/M2</f>
        <v>0.36249999999999999</v>
      </c>
      <c r="P2" s="11">
        <v>545.33162445119797</v>
      </c>
      <c r="Q2" s="16">
        <v>7.7757427454615096</v>
      </c>
      <c r="R2" s="11">
        <v>22.7594227733317</v>
      </c>
      <c r="S2" s="7">
        <f>101325/(287.058*(273.15+R2))</f>
        <v>1.1928563942244896</v>
      </c>
      <c r="T2" s="3"/>
      <c r="U2" s="3"/>
      <c r="V2" s="3"/>
    </row>
    <row r="3" spans="1:25">
      <c r="A3" s="3" t="s">
        <v>27</v>
      </c>
      <c r="B3" s="3">
        <v>1</v>
      </c>
      <c r="C3" s="3" t="s">
        <v>26</v>
      </c>
      <c r="D3" s="3">
        <v>0.5</v>
      </c>
      <c r="E3" s="16">
        <f>Table2[[#This Row],[Stable_Average_Pressure'[mbar']]]*100</f>
        <v>125495.449624306</v>
      </c>
      <c r="F3" s="18">
        <f>Q3*S3/3600</f>
        <v>5.1653287922039512E-3</v>
      </c>
      <c r="G3" s="15">
        <f>K3*9.81/1000</f>
        <v>4.1202000000000003E-2</v>
      </c>
      <c r="H3" s="3">
        <v>0.5</v>
      </c>
      <c r="I3" s="3">
        <v>2.1</v>
      </c>
      <c r="J3" s="3">
        <v>2.9</v>
      </c>
      <c r="K3" s="3">
        <v>4.2</v>
      </c>
      <c r="L3" s="6">
        <f>K3/1000/D3</f>
        <v>8.4000000000000012E-3</v>
      </c>
      <c r="M3" s="3">
        <v>10</v>
      </c>
      <c r="N3" s="5">
        <f>PI()*(M3/2)^2-PI()*(I3/2)^2</f>
        <v>75.076210439162082</v>
      </c>
      <c r="O3" s="10">
        <f>J3/M3</f>
        <v>0.28999999999999998</v>
      </c>
      <c r="P3" s="11">
        <v>1254.95449624306</v>
      </c>
      <c r="Q3" s="16">
        <v>15.490590991266799</v>
      </c>
      <c r="R3" s="11">
        <v>20.8954562856173</v>
      </c>
      <c r="S3" s="7">
        <f t="shared" ref="S3:S43" si="0">101325/(287.058*(273.15+R3))</f>
        <v>1.2004179609685464</v>
      </c>
      <c r="T3" s="3"/>
      <c r="U3" s="3"/>
      <c r="V3" s="3"/>
    </row>
    <row r="4" spans="1:25">
      <c r="A4" s="3" t="s">
        <v>28</v>
      </c>
      <c r="B4" s="3">
        <v>2</v>
      </c>
      <c r="C4" s="3" t="s">
        <v>26</v>
      </c>
      <c r="D4" s="4">
        <v>1</v>
      </c>
      <c r="E4" s="16">
        <f>Table2[[#This Row],[Stable_Average_Pressure'[mbar']]]*100</f>
        <v>59036.548423297907</v>
      </c>
      <c r="F4" s="18">
        <f>Q4*S4/3600</f>
        <v>2.7271945823241278E-3</v>
      </c>
      <c r="G4" s="15">
        <f>K4*9.81/1000</f>
        <v>8.2404000000000005E-2</v>
      </c>
      <c r="H4" s="3">
        <v>0.5</v>
      </c>
      <c r="I4" s="3">
        <v>2.1</v>
      </c>
      <c r="J4" s="3">
        <v>2.9</v>
      </c>
      <c r="K4" s="3">
        <v>8.4</v>
      </c>
      <c r="L4" s="6">
        <f>K4/1000/D4</f>
        <v>8.4000000000000012E-3</v>
      </c>
      <c r="M4" s="3">
        <v>8</v>
      </c>
      <c r="N4" s="5">
        <f>PI()*(M4/2)^2-PI()*(I4/2)^2</f>
        <v>46.801876556853941</v>
      </c>
      <c r="O4" s="10">
        <f>J4/M4</f>
        <v>0.36249999999999999</v>
      </c>
      <c r="P4" s="11">
        <v>590.36548423297904</v>
      </c>
      <c r="Q4" s="16">
        <v>8.2560853821391706</v>
      </c>
      <c r="R4" s="11">
        <v>23.6763878849153</v>
      </c>
      <c r="S4" s="7">
        <f t="shared" si="0"/>
        <v>1.1891713859459894</v>
      </c>
      <c r="T4" s="3"/>
      <c r="U4" s="3"/>
      <c r="V4" s="3"/>
    </row>
    <row r="5" spans="1:25">
      <c r="A5" s="3" t="s">
        <v>29</v>
      </c>
      <c r="B5" s="3">
        <v>2</v>
      </c>
      <c r="C5" s="3" t="s">
        <v>26</v>
      </c>
      <c r="D5" s="4">
        <v>1</v>
      </c>
      <c r="E5" s="16">
        <f>Table2[[#This Row],[Stable_Average_Pressure'[mbar']]]*100</f>
        <v>148278.93640117499</v>
      </c>
      <c r="F5" s="18">
        <f>Q5*S5/3600</f>
        <v>5.7495431305062327E-3</v>
      </c>
      <c r="G5" s="15">
        <f>K5*9.81/1000</f>
        <v>8.2404000000000005E-2</v>
      </c>
      <c r="H5" s="3">
        <v>0.5</v>
      </c>
      <c r="I5" s="3">
        <v>2.1</v>
      </c>
      <c r="J5" s="3">
        <v>2.9</v>
      </c>
      <c r="K5" s="3">
        <v>8.4</v>
      </c>
      <c r="L5" s="6">
        <f>K5/1000/D5</f>
        <v>8.4000000000000012E-3</v>
      </c>
      <c r="M5" s="3">
        <v>10</v>
      </c>
      <c r="N5" s="5">
        <f>PI()*(M5/2)^2-PI()*(I5/2)^2</f>
        <v>75.076210439162082</v>
      </c>
      <c r="O5" s="10">
        <f>J5/M5</f>
        <v>0.28999999999999998</v>
      </c>
      <c r="P5" s="11">
        <v>1482.78936401175</v>
      </c>
      <c r="Q5" s="16">
        <v>17.356648584918599</v>
      </c>
      <c r="R5" s="11">
        <v>22.839967669859899</v>
      </c>
      <c r="S5" s="7">
        <f t="shared" si="0"/>
        <v>1.1925317937131878</v>
      </c>
      <c r="T5" s="3"/>
      <c r="U5" s="3"/>
      <c r="V5" s="3"/>
    </row>
    <row r="6" spans="1:25">
      <c r="A6" s="3" t="s">
        <v>30</v>
      </c>
      <c r="B6" s="3">
        <v>3</v>
      </c>
      <c r="C6" s="3" t="s">
        <v>26</v>
      </c>
      <c r="D6" s="4">
        <v>2</v>
      </c>
      <c r="E6" s="16">
        <f>Table2[[#This Row],[Stable_Average_Pressure'[mbar']]]*100</f>
        <v>62943.953944019995</v>
      </c>
      <c r="F6" s="18">
        <f>Q6*S6/3600</f>
        <v>2.7852410367128749E-3</v>
      </c>
      <c r="G6" s="15">
        <f>K6*9.81/1000</f>
        <v>0.16480800000000001</v>
      </c>
      <c r="H6" s="3">
        <v>0.5</v>
      </c>
      <c r="I6" s="3">
        <v>2.1</v>
      </c>
      <c r="J6" s="3">
        <v>2.9</v>
      </c>
      <c r="K6" s="3">
        <v>16.8</v>
      </c>
      <c r="L6" s="6">
        <f>K6/1000/D6</f>
        <v>8.4000000000000012E-3</v>
      </c>
      <c r="M6" s="3">
        <v>8</v>
      </c>
      <c r="N6" s="5">
        <f>PI()*(M6/2)^2-PI()*(I6/2)^2</f>
        <v>46.801876556853941</v>
      </c>
      <c r="O6" s="10">
        <f>J6/M6</f>
        <v>0.36249999999999999</v>
      </c>
      <c r="P6" s="11">
        <v>629.43953944019995</v>
      </c>
      <c r="Q6" s="16">
        <v>8.4004306573724392</v>
      </c>
      <c r="R6" s="11">
        <v>22.571719574074599</v>
      </c>
      <c r="S6" s="7">
        <f t="shared" si="0"/>
        <v>1.1936135349640089</v>
      </c>
      <c r="T6" s="3"/>
      <c r="U6" s="3"/>
      <c r="V6" s="3"/>
    </row>
    <row r="7" spans="1:25">
      <c r="A7" s="3"/>
      <c r="B7" s="3"/>
      <c r="C7" s="3"/>
      <c r="D7" s="4"/>
      <c r="E7" s="16">
        <f>Table2[[#This Row],[Stable_Average_Pressure'[mbar']]]*100</f>
        <v>0</v>
      </c>
      <c r="F7" s="18">
        <f>Q7*S7/3600</f>
        <v>0</v>
      </c>
      <c r="G7" s="15">
        <f>K7*9.81/1000</f>
        <v>0</v>
      </c>
      <c r="H7" s="5"/>
      <c r="I7" s="3"/>
      <c r="J7" s="3"/>
      <c r="K7" s="3"/>
      <c r="L7" s="6" t="e">
        <f>K7/1000/D7</f>
        <v>#DIV/0!</v>
      </c>
      <c r="M7" s="3"/>
      <c r="N7" s="5">
        <f>PI()*(M7/2)^2-PI()*(I7/2)^2</f>
        <v>0</v>
      </c>
      <c r="O7" s="10" t="e">
        <f>J7/M7</f>
        <v>#DIV/0!</v>
      </c>
      <c r="P7" s="11"/>
      <c r="Q7" s="16"/>
      <c r="R7" s="11"/>
      <c r="S7" s="7">
        <f>101325/(287.058*(273.15+R7))</f>
        <v>1.2922476553778017</v>
      </c>
      <c r="T7" s="3"/>
      <c r="U7" s="3"/>
      <c r="V7" s="3"/>
    </row>
    <row r="8" spans="1:25">
      <c r="A8" s="3" t="s">
        <v>31</v>
      </c>
      <c r="B8" s="3">
        <v>3</v>
      </c>
      <c r="C8" s="3" t="s">
        <v>26</v>
      </c>
      <c r="D8" s="4">
        <v>2</v>
      </c>
      <c r="E8" s="16">
        <f>Table2[[#This Row],[Stable_Average_Pressure'[mbar']]]*100</f>
        <v>158519.33770071101</v>
      </c>
      <c r="F8" s="18">
        <f>Q8*S8/3600</f>
        <v>5.9204883521848592E-3</v>
      </c>
      <c r="G8" s="15">
        <f>K8*9.81/1000</f>
        <v>0.16480800000000001</v>
      </c>
      <c r="H8" s="3">
        <v>0.5</v>
      </c>
      <c r="I8" s="3">
        <v>2.1</v>
      </c>
      <c r="J8" s="3">
        <v>2.9</v>
      </c>
      <c r="K8" s="3">
        <v>16.8</v>
      </c>
      <c r="L8" s="6">
        <f>K8/1000/D8</f>
        <v>8.4000000000000012E-3</v>
      </c>
      <c r="M8" s="3">
        <v>10</v>
      </c>
      <c r="N8" s="5">
        <f>PI()*(M8/2)^2-PI()*(I8/2)^2</f>
        <v>75.076210439162082</v>
      </c>
      <c r="O8" s="10">
        <f>J8/M8</f>
        <v>0.28999999999999998</v>
      </c>
      <c r="P8" s="11">
        <v>1585.19337700711</v>
      </c>
      <c r="Q8" s="16">
        <v>17.779726531410901</v>
      </c>
      <c r="R8" s="11">
        <v>21.300301097252401</v>
      </c>
      <c r="S8" s="7">
        <f t="shared" si="0"/>
        <v>1.1987674855522172</v>
      </c>
      <c r="T8" s="3"/>
      <c r="U8" s="3"/>
      <c r="V8" s="3"/>
    </row>
    <row r="9" spans="1:25">
      <c r="A9" s="3" t="s">
        <v>32</v>
      </c>
      <c r="B9" s="3">
        <v>4</v>
      </c>
      <c r="C9" s="3" t="s">
        <v>26</v>
      </c>
      <c r="D9" s="3">
        <v>3.5</v>
      </c>
      <c r="E9" s="16">
        <f>Table2[[#This Row],[Stable_Average_Pressure'[mbar']]]*100</f>
        <v>81177.51941176469</v>
      </c>
      <c r="F9" s="18">
        <f>Q9*S9/3600</f>
        <v>3.1327192035828367E-3</v>
      </c>
      <c r="G9" s="15">
        <f>K9*9.81/1000</f>
        <v>0.32863500000000001</v>
      </c>
      <c r="H9" s="3">
        <v>0.5</v>
      </c>
      <c r="I9" s="3">
        <v>2.1</v>
      </c>
      <c r="J9" s="3">
        <v>2.9</v>
      </c>
      <c r="K9" s="3">
        <v>33.5</v>
      </c>
      <c r="L9" s="6">
        <f>K9/1000/D9</f>
        <v>9.5714285714285727E-3</v>
      </c>
      <c r="M9" s="3">
        <v>8</v>
      </c>
      <c r="N9" s="5">
        <f>PI()*(M9/2)^2-PI()*(I9/2)^2</f>
        <v>46.801876556853941</v>
      </c>
      <c r="O9" s="10">
        <f>J9/M9</f>
        <v>0.36249999999999999</v>
      </c>
      <c r="P9" s="11">
        <v>811.77519411764695</v>
      </c>
      <c r="Q9" s="16">
        <v>9.4862536470588203</v>
      </c>
      <c r="R9" s="11">
        <v>23.755142941176398</v>
      </c>
      <c r="S9" s="7">
        <f t="shared" si="0"/>
        <v>1.1888559543624317</v>
      </c>
      <c r="T9" s="3"/>
      <c r="U9" s="3"/>
      <c r="V9" s="3"/>
    </row>
    <row r="10" spans="1:25">
      <c r="A10" s="3" t="s">
        <v>33</v>
      </c>
      <c r="B10" s="3">
        <v>4</v>
      </c>
      <c r="C10" s="3" t="s">
        <v>26</v>
      </c>
      <c r="D10" s="3">
        <v>3.5</v>
      </c>
      <c r="E10" s="16">
        <f>Table2[[#This Row],[Stable_Average_Pressure'[mbar']]]*100</f>
        <v>159971.317044998</v>
      </c>
      <c r="F10" s="18">
        <f>Q10*S10/3600</f>
        <v>5.896349324818943E-3</v>
      </c>
      <c r="G10" s="15">
        <f>K10*9.81/1000</f>
        <v>0.32863500000000001</v>
      </c>
      <c r="H10" s="3">
        <v>0.5</v>
      </c>
      <c r="I10" s="3">
        <v>2.1</v>
      </c>
      <c r="J10" s="3">
        <v>2.9</v>
      </c>
      <c r="K10" s="3">
        <v>33.5</v>
      </c>
      <c r="L10" s="6">
        <f>K10/1000/D10</f>
        <v>9.5714285714285727E-3</v>
      </c>
      <c r="M10" s="3">
        <v>10</v>
      </c>
      <c r="N10" s="5">
        <f>PI()*(M10/2)^2-PI()*(I10/2)^2</f>
        <v>75.076210439162082</v>
      </c>
      <c r="O10" s="10">
        <f>J10/M10</f>
        <v>0.28999999999999998</v>
      </c>
      <c r="P10" s="11">
        <v>1599.71317044998</v>
      </c>
      <c r="Q10" s="16">
        <v>17.7318026308558</v>
      </c>
      <c r="R10" s="11">
        <v>21.708831745474001</v>
      </c>
      <c r="S10" s="7">
        <f t="shared" si="0"/>
        <v>1.1971065780086292</v>
      </c>
      <c r="T10" s="3"/>
      <c r="U10" s="3"/>
      <c r="V10" s="3"/>
    </row>
    <row r="11" spans="1:25">
      <c r="A11" s="3" t="s">
        <v>34</v>
      </c>
      <c r="B11" s="3">
        <v>5</v>
      </c>
      <c r="C11" s="3" t="s">
        <v>35</v>
      </c>
      <c r="D11" s="3">
        <v>0.5</v>
      </c>
      <c r="E11" s="16">
        <f>Table2[[#This Row],[Stable_Average_Pressure'[mbar']]]*100</f>
        <v>59365.205904436902</v>
      </c>
      <c r="F11" s="18">
        <f>Q11*S11/3600</f>
        <v>2.763257712483863E-3</v>
      </c>
      <c r="G11" s="15">
        <f>K11*9.81/1000</f>
        <v>6.4745999999999998E-2</v>
      </c>
      <c r="H11" s="5">
        <v>1</v>
      </c>
      <c r="I11" s="3">
        <v>2.4</v>
      </c>
      <c r="J11" s="3">
        <v>3.5</v>
      </c>
      <c r="K11" s="3">
        <v>6.6</v>
      </c>
      <c r="L11" s="6">
        <f>K11/1000/D11</f>
        <v>1.32E-2</v>
      </c>
      <c r="M11" s="3">
        <v>8</v>
      </c>
      <c r="N11" s="5">
        <f>PI()*(M11/2)^2-PI()*(I11/2)^2</f>
        <v>45.741589036267385</v>
      </c>
      <c r="O11" s="10">
        <f>J11/M11</f>
        <v>0.4375</v>
      </c>
      <c r="P11" s="11">
        <v>593.65205904436903</v>
      </c>
      <c r="Q11" s="16">
        <v>8.3912563360608097</v>
      </c>
      <c r="R11" s="11">
        <v>24.598823567668902</v>
      </c>
      <c r="S11" s="7">
        <f t="shared" si="0"/>
        <v>1.185487293743164</v>
      </c>
      <c r="T11" s="3"/>
      <c r="U11" s="3"/>
      <c r="V11" s="3"/>
    </row>
    <row r="12" spans="1:25">
      <c r="A12" s="3" t="s">
        <v>36</v>
      </c>
      <c r="B12" s="3">
        <v>5</v>
      </c>
      <c r="C12" s="3" t="s">
        <v>35</v>
      </c>
      <c r="D12" s="3">
        <v>0.5</v>
      </c>
      <c r="E12" s="16">
        <f>Table2[[#This Row],[Stable_Average_Pressure'[mbar']]]*100</f>
        <v>167174.77499999999</v>
      </c>
      <c r="F12" s="18">
        <f>Q12*S12/3600</f>
        <v>6.3549301186064935E-3</v>
      </c>
      <c r="G12" s="15">
        <f>K12*9.81/1000</f>
        <v>6.4745999999999998E-2</v>
      </c>
      <c r="H12" s="5">
        <v>1</v>
      </c>
      <c r="I12" s="3">
        <v>2.4</v>
      </c>
      <c r="J12" s="3">
        <v>3.5</v>
      </c>
      <c r="K12" s="3">
        <v>6.6</v>
      </c>
      <c r="L12" s="6">
        <f>K12/1000/D12</f>
        <v>1.32E-2</v>
      </c>
      <c r="M12" s="3">
        <v>10</v>
      </c>
      <c r="N12" s="5">
        <f>PI()*(M12/2)^2-PI()*(I12/2)^2</f>
        <v>74.015922918575527</v>
      </c>
      <c r="O12" s="10">
        <f>J12/M12</f>
        <v>0.35</v>
      </c>
      <c r="P12" s="11">
        <v>1671.74775</v>
      </c>
      <c r="Q12" s="16">
        <v>19.004774999999999</v>
      </c>
      <c r="R12" s="11">
        <v>20.071904374999999</v>
      </c>
      <c r="S12" s="7">
        <f t="shared" si="0"/>
        <v>1.2037894911664768</v>
      </c>
      <c r="T12" s="3"/>
      <c r="U12" s="3"/>
      <c r="V12" s="3"/>
    </row>
    <row r="13" spans="1:25">
      <c r="A13" s="3" t="s">
        <v>37</v>
      </c>
      <c r="B13" s="3">
        <v>6</v>
      </c>
      <c r="C13" s="3" t="s">
        <v>35</v>
      </c>
      <c r="D13" s="4">
        <v>1</v>
      </c>
      <c r="E13" s="16">
        <f>Table2[[#This Row],[Stable_Average_Pressure'[mbar']]]*100</f>
        <v>70918.259042872203</v>
      </c>
      <c r="F13" s="18">
        <f>Q13*S13/3600</f>
        <v>3.0826333093424167E-3</v>
      </c>
      <c r="G13" s="15">
        <f>K13*9.81/1000</f>
        <v>0.129492</v>
      </c>
      <c r="H13" s="5">
        <v>1</v>
      </c>
      <c r="I13" s="3">
        <v>2.4</v>
      </c>
      <c r="J13" s="3">
        <v>3.5</v>
      </c>
      <c r="K13" s="3">
        <v>13.2</v>
      </c>
      <c r="L13" s="6">
        <f>K13/1000/D13</f>
        <v>1.32E-2</v>
      </c>
      <c r="M13" s="3">
        <v>8</v>
      </c>
      <c r="N13" s="5">
        <f>PI()*(M13/2)^2-PI()*(I13/2)^2</f>
        <v>45.741589036267385</v>
      </c>
      <c r="O13" s="10">
        <f>J13/M13</f>
        <v>0.4375</v>
      </c>
      <c r="P13" s="11">
        <v>709.18259042872205</v>
      </c>
      <c r="Q13" s="16">
        <v>9.2349534302051897</v>
      </c>
      <c r="R13" s="11">
        <v>20.5860834117785</v>
      </c>
      <c r="S13" s="7">
        <f t="shared" si="0"/>
        <v>1.201682282158095</v>
      </c>
      <c r="T13" s="3"/>
      <c r="U13" s="3"/>
      <c r="V13" s="3"/>
    </row>
    <row r="14" spans="1:25">
      <c r="A14" s="3" t="s">
        <v>38</v>
      </c>
      <c r="B14" s="3">
        <v>6</v>
      </c>
      <c r="C14" s="3" t="s">
        <v>35</v>
      </c>
      <c r="D14" s="4">
        <v>1</v>
      </c>
      <c r="E14" s="16">
        <f>Table2[[#This Row],[Stable_Average_Pressure'[mbar']]]*100</f>
        <v>196213.97084111901</v>
      </c>
      <c r="F14" s="18">
        <f>Q14*S14/3600</f>
        <v>7.0403724439493578E-3</v>
      </c>
      <c r="G14" s="15">
        <f>K14*9.81/1000</f>
        <v>0.129492</v>
      </c>
      <c r="H14" s="5">
        <v>1</v>
      </c>
      <c r="I14" s="3">
        <v>2.4</v>
      </c>
      <c r="J14" s="3">
        <v>3.5</v>
      </c>
      <c r="K14" s="3">
        <v>13.2</v>
      </c>
      <c r="L14" s="6">
        <f>K14/1000/D14</f>
        <v>1.32E-2</v>
      </c>
      <c r="M14" s="3">
        <v>10</v>
      </c>
      <c r="N14" s="5">
        <f>PI()*(M14/2)^2-PI()*(I14/2)^2</f>
        <v>74.015922918575527</v>
      </c>
      <c r="O14" s="10">
        <f>J14/M14</f>
        <v>0.35</v>
      </c>
      <c r="P14" s="11">
        <v>1962.13970841119</v>
      </c>
      <c r="Q14" s="16">
        <v>21.2855537097265</v>
      </c>
      <c r="R14" s="11">
        <v>23.287931834135598</v>
      </c>
      <c r="S14" s="7">
        <f t="shared" si="0"/>
        <v>1.190729691313412</v>
      </c>
      <c r="T14" s="3"/>
      <c r="U14" s="3"/>
      <c r="V14" s="3"/>
    </row>
    <row r="15" spans="1:25">
      <c r="A15" s="3" t="s">
        <v>39</v>
      </c>
      <c r="B15" s="3">
        <v>7</v>
      </c>
      <c r="C15" s="3" t="s">
        <v>35</v>
      </c>
      <c r="D15" s="4">
        <v>2</v>
      </c>
      <c r="E15" s="16">
        <f>Table2[[#This Row],[Stable_Average_Pressure'[mbar']]]*100</f>
        <v>87719.128034323396</v>
      </c>
      <c r="F15" s="18">
        <f>Q15*S15/3600</f>
        <v>3.4868050267874325E-3</v>
      </c>
      <c r="G15" s="15">
        <f>K15*9.81/1000</f>
        <v>0.25800300000000004</v>
      </c>
      <c r="H15" s="5">
        <v>1</v>
      </c>
      <c r="I15" s="3">
        <v>2.4</v>
      </c>
      <c r="J15" s="3">
        <v>3.5</v>
      </c>
      <c r="K15" s="3">
        <v>26.3</v>
      </c>
      <c r="L15" s="6">
        <f>K15/1000/D15</f>
        <v>1.315E-2</v>
      </c>
      <c r="M15" s="3">
        <v>8</v>
      </c>
      <c r="N15" s="5">
        <f>PI()*(M15/2)^2-PI()*(I15/2)^2</f>
        <v>45.741589036267385</v>
      </c>
      <c r="O15" s="10">
        <f>J15/M15</f>
        <v>0.4375</v>
      </c>
      <c r="P15" s="11">
        <v>877.19128034323398</v>
      </c>
      <c r="Q15" s="16">
        <v>10.4575079303966</v>
      </c>
      <c r="R15" s="11">
        <v>20.9161232202798</v>
      </c>
      <c r="S15" s="7">
        <f t="shared" si="0"/>
        <v>1.2003335957268266</v>
      </c>
      <c r="T15" s="3"/>
      <c r="U15" s="3"/>
      <c r="V15" s="3"/>
    </row>
    <row r="16" spans="1:25">
      <c r="A16" s="3" t="s">
        <v>40</v>
      </c>
      <c r="B16" s="3">
        <v>7</v>
      </c>
      <c r="C16" s="3" t="s">
        <v>35</v>
      </c>
      <c r="D16" s="4">
        <v>2</v>
      </c>
      <c r="E16" s="16">
        <f>Table2[[#This Row],[Stable_Average_Pressure'[mbar']]]*100</f>
        <v>210185.343085634</v>
      </c>
      <c r="F16" s="18">
        <f>Q16*S16/3600</f>
        <v>7.327089808495048E-3</v>
      </c>
      <c r="G16" s="15">
        <f>K16*9.81/1000</f>
        <v>0.25800300000000004</v>
      </c>
      <c r="H16" s="5">
        <v>1</v>
      </c>
      <c r="I16" s="3">
        <v>2.4</v>
      </c>
      <c r="J16" s="3">
        <v>3.5</v>
      </c>
      <c r="K16" s="3">
        <v>26.3</v>
      </c>
      <c r="L16" s="6">
        <f>K16/1000/D16</f>
        <v>1.315E-2</v>
      </c>
      <c r="M16" s="3">
        <v>10</v>
      </c>
      <c r="N16" s="5">
        <f>PI()*(M16/2)^2-PI()*(I16/2)^2</f>
        <v>74.015922918575527</v>
      </c>
      <c r="O16" s="10">
        <f>J16/M16</f>
        <v>0.35</v>
      </c>
      <c r="P16" s="11">
        <v>2101.8534308563399</v>
      </c>
      <c r="Q16" s="16">
        <v>21.994790278154401</v>
      </c>
      <c r="R16" s="11">
        <v>21.178805238140001</v>
      </c>
      <c r="S16" s="7">
        <f t="shared" si="0"/>
        <v>1.1992623242596123</v>
      </c>
      <c r="T16" s="3"/>
      <c r="U16" s="3"/>
      <c r="V16" s="3"/>
    </row>
    <row r="17" spans="1:22">
      <c r="A17" s="3" t="s">
        <v>41</v>
      </c>
      <c r="B17" s="3">
        <v>8</v>
      </c>
      <c r="C17" s="3" t="s">
        <v>35</v>
      </c>
      <c r="D17" s="3">
        <v>3.5</v>
      </c>
      <c r="E17" s="16">
        <f>Table2[[#This Row],[Stable_Average_Pressure'[mbar']]]*100</f>
        <v>93235.630919979798</v>
      </c>
      <c r="F17" s="18">
        <f>Q17*S17/3600</f>
        <v>3.4467297511876238E-3</v>
      </c>
      <c r="G17" s="15">
        <f>K17*9.81/1000</f>
        <v>0.51404399999999995</v>
      </c>
      <c r="H17" s="5">
        <v>1</v>
      </c>
      <c r="I17" s="3">
        <v>2.4</v>
      </c>
      <c r="J17" s="3">
        <v>3.5</v>
      </c>
      <c r="K17" s="3">
        <v>52.4</v>
      </c>
      <c r="L17" s="6">
        <f>K17/1000/D17</f>
        <v>1.497142857142857E-2</v>
      </c>
      <c r="M17" s="3">
        <v>8</v>
      </c>
      <c r="N17" s="5">
        <f>PI()*(M17/2)^2-PI()*(I17/2)^2</f>
        <v>45.741589036267385</v>
      </c>
      <c r="O17" s="10">
        <f>J17/M17</f>
        <v>0.4375</v>
      </c>
      <c r="P17" s="11">
        <v>932.35630919979803</v>
      </c>
      <c r="Q17" s="16">
        <v>10.408870879601</v>
      </c>
      <c r="R17" s="11">
        <v>22.951662151224799</v>
      </c>
      <c r="S17" s="7">
        <f t="shared" si="0"/>
        <v>1.1920819508475915</v>
      </c>
      <c r="T17" s="3"/>
      <c r="U17" s="3"/>
      <c r="V17" s="3"/>
    </row>
    <row r="18" spans="1:22">
      <c r="A18" s="3" t="s">
        <v>42</v>
      </c>
      <c r="B18" s="3">
        <v>8</v>
      </c>
      <c r="C18" s="3" t="s">
        <v>35</v>
      </c>
      <c r="D18" s="3">
        <v>3.5</v>
      </c>
      <c r="E18" s="16">
        <f>Table2[[#This Row],[Stable_Average_Pressure'[mbar']]]*100</f>
        <v>242433.5</v>
      </c>
      <c r="F18" s="18">
        <f>Q18*S18/3600</f>
        <v>8.1076838872721334E-3</v>
      </c>
      <c r="G18" s="15">
        <f>K18*9.81/1000</f>
        <v>0.51404399999999995</v>
      </c>
      <c r="H18" s="5">
        <v>1</v>
      </c>
      <c r="I18" s="3">
        <v>2.4</v>
      </c>
      <c r="J18" s="3">
        <v>3.5</v>
      </c>
      <c r="K18" s="3">
        <v>52.4</v>
      </c>
      <c r="L18" s="6">
        <f>K18/1000/D18</f>
        <v>1.497142857142857E-2</v>
      </c>
      <c r="M18" s="3">
        <v>10</v>
      </c>
      <c r="N18" s="5">
        <f>PI()*(M18/2)^2-PI()*(I18/2)^2</f>
        <v>74.015922918575527</v>
      </c>
      <c r="O18" s="10">
        <f>J18/M18</f>
        <v>0.35</v>
      </c>
      <c r="P18" s="11">
        <v>2424.335</v>
      </c>
      <c r="Q18" s="16">
        <v>24.321171</v>
      </c>
      <c r="R18" s="11">
        <v>20.975128999999999</v>
      </c>
      <c r="S18" s="7">
        <f t="shared" si="0"/>
        <v>1.2000927913454364</v>
      </c>
      <c r="T18" s="3"/>
      <c r="U18" s="3"/>
      <c r="V18" s="3"/>
    </row>
    <row r="19" spans="1:22">
      <c r="A19" s="3" t="s">
        <v>43</v>
      </c>
      <c r="B19" s="3">
        <v>9</v>
      </c>
      <c r="C19" s="3" t="s">
        <v>44</v>
      </c>
      <c r="D19" s="3">
        <v>0.5</v>
      </c>
      <c r="E19" s="16">
        <f>Table2[[#This Row],[Stable_Average_Pressure'[mbar']]]*100</f>
        <v>57907.309235757704</v>
      </c>
      <c r="F19" s="18">
        <f>Q19*S19/3600</f>
        <v>2.6942268483916227E-3</v>
      </c>
      <c r="G19" s="15">
        <f>K19*9.81/1000</f>
        <v>9.3195000000000014E-2</v>
      </c>
      <c r="H19" s="5">
        <v>1.5</v>
      </c>
      <c r="I19" s="3">
        <v>2.75</v>
      </c>
      <c r="J19" s="3">
        <v>4.4000000000000004</v>
      </c>
      <c r="K19" s="3">
        <v>9.5</v>
      </c>
      <c r="L19" s="6">
        <f>K19/1000/D19</f>
        <v>1.9E-2</v>
      </c>
      <c r="M19" s="3">
        <v>8</v>
      </c>
      <c r="N19" s="5">
        <f>PI()*((M19/2)^2) - PI()*((I19/2)^2)</f>
        <v>44.325908846743488</v>
      </c>
      <c r="O19" s="10">
        <f>J19/M19</f>
        <v>0.55000000000000004</v>
      </c>
      <c r="P19" s="11">
        <v>579.07309235757702</v>
      </c>
      <c r="Q19" s="16">
        <v>8.1587949090081295</v>
      </c>
      <c r="R19" s="11">
        <v>23.767854378521701</v>
      </c>
      <c r="S19" s="7">
        <f t="shared" si="0"/>
        <v>1.1888050579014962</v>
      </c>
      <c r="T19" s="3"/>
      <c r="U19" s="3"/>
      <c r="V19" s="3"/>
    </row>
    <row r="20" spans="1:22">
      <c r="A20" s="3" t="s">
        <v>45</v>
      </c>
      <c r="B20" s="3">
        <v>9</v>
      </c>
      <c r="C20" s="3" t="s">
        <v>44</v>
      </c>
      <c r="D20" s="3">
        <v>0.5</v>
      </c>
      <c r="E20" s="16">
        <f>Table2[[#This Row],[Stable_Average_Pressure'[mbar']]]*100</f>
        <v>174709.256741099</v>
      </c>
      <c r="F20" s="18">
        <f>Q20*S20/3600</f>
        <v>6.4762229371615118E-3</v>
      </c>
      <c r="G20" s="15">
        <f>K20*9.81/1000</f>
        <v>9.3195000000000014E-2</v>
      </c>
      <c r="H20" s="5">
        <v>1.5</v>
      </c>
      <c r="I20" s="3">
        <v>2.75</v>
      </c>
      <c r="J20" s="3">
        <v>4.4000000000000004</v>
      </c>
      <c r="K20" s="3">
        <v>9.5</v>
      </c>
      <c r="L20" s="6">
        <f>K20/1000/D20</f>
        <v>1.9E-2</v>
      </c>
      <c r="M20" s="3">
        <v>10</v>
      </c>
      <c r="N20" s="5">
        <f>PI()*((M20/2)^2) - PI()*((I20/2)^2)</f>
        <v>72.600242729051629</v>
      </c>
      <c r="O20" s="10">
        <f>J20/M20</f>
        <v>0.44000000000000006</v>
      </c>
      <c r="P20" s="11">
        <v>1747.0925674109899</v>
      </c>
      <c r="Q20" s="16">
        <v>19.4157992421468</v>
      </c>
      <c r="R20" s="11">
        <v>20.8030287151621</v>
      </c>
      <c r="S20" s="7">
        <f t="shared" si="0"/>
        <v>1.200795408059832</v>
      </c>
      <c r="T20" s="3"/>
      <c r="U20" s="3"/>
      <c r="V20" s="3"/>
    </row>
    <row r="21" spans="1:22">
      <c r="A21" s="3" t="s">
        <v>46</v>
      </c>
      <c r="B21" s="3">
        <v>10</v>
      </c>
      <c r="C21" s="3" t="s">
        <v>44</v>
      </c>
      <c r="D21" s="4">
        <v>1</v>
      </c>
      <c r="E21" s="16">
        <f>Table2[[#This Row],[Stable_Average_Pressure'[mbar']]]*100</f>
        <v>69462.022486054397</v>
      </c>
      <c r="F21" s="18">
        <f>Q21*S21/3600</f>
        <v>3.0155272499761284E-3</v>
      </c>
      <c r="G21" s="15">
        <f>K21*9.81/1000</f>
        <v>0.18442800000000004</v>
      </c>
      <c r="H21" s="5">
        <v>1.5</v>
      </c>
      <c r="I21" s="3">
        <v>2.75</v>
      </c>
      <c r="J21" s="3">
        <v>4.4000000000000004</v>
      </c>
      <c r="K21" s="3">
        <v>18.8</v>
      </c>
      <c r="L21" s="6">
        <f>K21/1000/D21</f>
        <v>1.8800000000000001E-2</v>
      </c>
      <c r="M21" s="3">
        <v>8</v>
      </c>
      <c r="N21" s="5">
        <f>PI()*(M21/2)^2-PI()*(I21/2)^2</f>
        <v>44.325908846743488</v>
      </c>
      <c r="O21" s="10">
        <f>J21/M21</f>
        <v>0.55000000000000004</v>
      </c>
      <c r="P21" s="11">
        <v>694.620224860544</v>
      </c>
      <c r="Q21" s="16">
        <v>9.0091196141870107</v>
      </c>
      <c r="R21" s="11">
        <v>19.779798388320799</v>
      </c>
      <c r="S21" s="7">
        <f t="shared" si="0"/>
        <v>1.2049898952189355</v>
      </c>
      <c r="T21" s="3"/>
      <c r="U21" s="3"/>
      <c r="V21" s="3"/>
    </row>
    <row r="22" spans="1:22">
      <c r="A22" s="3" t="s">
        <v>47</v>
      </c>
      <c r="B22" s="3">
        <v>10</v>
      </c>
      <c r="C22" s="3" t="s">
        <v>44</v>
      </c>
      <c r="D22" s="4">
        <v>1</v>
      </c>
      <c r="E22" s="16">
        <f>Table2[[#This Row],[Stable_Average_Pressure'[mbar']]]*100</f>
        <v>190203.88333333301</v>
      </c>
      <c r="F22" s="18">
        <f>Q22*S22/3600</f>
        <v>6.888856115249033E-3</v>
      </c>
      <c r="G22" s="15">
        <f>K22*9.81/1000</f>
        <v>0.18442800000000004</v>
      </c>
      <c r="H22" s="5">
        <v>1.5</v>
      </c>
      <c r="I22" s="3">
        <v>2.75</v>
      </c>
      <c r="J22" s="3">
        <v>4.4000000000000004</v>
      </c>
      <c r="K22" s="3">
        <v>18.8</v>
      </c>
      <c r="L22" s="6">
        <f>K22/1000/D22</f>
        <v>1.8800000000000001E-2</v>
      </c>
      <c r="M22" s="3">
        <v>10</v>
      </c>
      <c r="N22" s="5">
        <f>PI()*(M22/2)^2-PI()*(I22/2)^2</f>
        <v>72.600242729051629</v>
      </c>
      <c r="O22" s="10">
        <f>J22/M22</f>
        <v>0.44000000000000006</v>
      </c>
      <c r="P22" s="11">
        <v>1902.0388333333301</v>
      </c>
      <c r="Q22" s="16">
        <v>20.691978750000001</v>
      </c>
      <c r="R22" s="11">
        <v>21.359539583333301</v>
      </c>
      <c r="S22" s="7">
        <f t="shared" si="0"/>
        <v>1.1985263620520834</v>
      </c>
      <c r="T22" s="3"/>
      <c r="U22" s="3"/>
      <c r="V22" s="3"/>
    </row>
    <row r="23" spans="1:22">
      <c r="A23" s="3" t="s">
        <v>48</v>
      </c>
      <c r="B23" s="3">
        <v>11</v>
      </c>
      <c r="C23" s="3" t="s">
        <v>44</v>
      </c>
      <c r="D23" s="4">
        <v>2</v>
      </c>
      <c r="E23" s="16">
        <f>Table2[[#This Row],[Stable_Average_Pressure'[mbar']]]*100</f>
        <v>89958.516842105193</v>
      </c>
      <c r="F23" s="18">
        <f>Q23*S23/3600</f>
        <v>3.4885967880269428E-3</v>
      </c>
      <c r="G23" s="15">
        <f>K23*9.81/1000</f>
        <v>0.36983700000000003</v>
      </c>
      <c r="H23" s="5">
        <v>1.5</v>
      </c>
      <c r="I23" s="3">
        <v>2.75</v>
      </c>
      <c r="J23" s="3">
        <v>4.4000000000000004</v>
      </c>
      <c r="K23" s="3">
        <v>37.700000000000003</v>
      </c>
      <c r="L23" s="6">
        <f>K23/1000/D23</f>
        <v>1.8850000000000002E-2</v>
      </c>
      <c r="M23" s="3">
        <v>8</v>
      </c>
      <c r="N23" s="5">
        <f>PI()*(M23/2)^2-PI()*(I23/2)^2</f>
        <v>44.325908846743488</v>
      </c>
      <c r="O23" s="10">
        <f>J23/M23</f>
        <v>0.55000000000000004</v>
      </c>
      <c r="P23" s="11">
        <v>899.585168421052</v>
      </c>
      <c r="Q23" s="16">
        <v>10.481730894736801</v>
      </c>
      <c r="R23" s="11">
        <v>21.4458915789473</v>
      </c>
      <c r="S23" s="7">
        <f t="shared" si="0"/>
        <v>1.1981750498100678</v>
      </c>
      <c r="T23" s="3"/>
      <c r="U23" s="3"/>
      <c r="V23" s="3"/>
    </row>
    <row r="24" spans="1:22">
      <c r="A24" s="3" t="s">
        <v>49</v>
      </c>
      <c r="B24" s="3">
        <v>11</v>
      </c>
      <c r="C24" s="3" t="s">
        <v>44</v>
      </c>
      <c r="D24" s="4">
        <v>2</v>
      </c>
      <c r="E24" s="16">
        <f>Table2[[#This Row],[Stable_Average_Pressure'[mbar']]]*100</f>
        <v>219087.05333333299</v>
      </c>
      <c r="F24" s="18">
        <f>Q24*S24/3600</f>
        <v>7.5553661727906967E-3</v>
      </c>
      <c r="G24" s="15">
        <f>K24*9.81/1000</f>
        <v>0.36983700000000003</v>
      </c>
      <c r="H24" s="5">
        <v>1.5</v>
      </c>
      <c r="I24" s="3">
        <v>2.75</v>
      </c>
      <c r="J24" s="3">
        <v>4.4000000000000004</v>
      </c>
      <c r="K24" s="3">
        <v>37.700000000000003</v>
      </c>
      <c r="L24" s="6">
        <f>K24/1000/D24</f>
        <v>1.8850000000000002E-2</v>
      </c>
      <c r="M24" s="3">
        <v>10</v>
      </c>
      <c r="N24" s="5">
        <f>PI()*(M24/2)^2-PI()*(I24/2)^2</f>
        <v>72.600242729051629</v>
      </c>
      <c r="O24" s="10">
        <f>J24/M24</f>
        <v>0.44000000000000006</v>
      </c>
      <c r="P24" s="11">
        <v>2190.8705333333301</v>
      </c>
      <c r="Q24" s="16">
        <v>22.655542000000001</v>
      </c>
      <c r="R24" s="11">
        <v>20.860876000000001</v>
      </c>
      <c r="S24" s="7">
        <f t="shared" si="0"/>
        <v>1.200559148929057</v>
      </c>
      <c r="T24" s="3"/>
      <c r="U24" s="3"/>
      <c r="V24" s="3"/>
    </row>
    <row r="25" spans="1:22">
      <c r="A25" s="3" t="s">
        <v>50</v>
      </c>
      <c r="B25" s="3">
        <v>12</v>
      </c>
      <c r="C25" s="3" t="s">
        <v>44</v>
      </c>
      <c r="D25" s="3">
        <v>3.5</v>
      </c>
      <c r="E25" s="16">
        <f>Table2[[#This Row],[Stable_Average_Pressure'[mbar']]]*100</f>
        <v>108881.41818181801</v>
      </c>
      <c r="F25" s="18">
        <f>Q25*S25/3600</f>
        <v>3.7701019670182837E-3</v>
      </c>
      <c r="G25" s="15">
        <f>K25*9.81/1000</f>
        <v>0.73771200000000015</v>
      </c>
      <c r="H25" s="5">
        <v>1.5</v>
      </c>
      <c r="I25" s="3">
        <v>2.75</v>
      </c>
      <c r="J25" s="3">
        <v>4.4000000000000004</v>
      </c>
      <c r="K25" s="3">
        <v>75.2</v>
      </c>
      <c r="L25" s="6">
        <f>K25/1000/D25</f>
        <v>2.1485714285714285E-2</v>
      </c>
      <c r="M25" s="3">
        <v>8</v>
      </c>
      <c r="N25" s="5">
        <f>PI()*(M25/2)^2-PI()*(I25/2)^2</f>
        <v>44.325908846743488</v>
      </c>
      <c r="O25" s="10">
        <f>J25/M25</f>
        <v>0.55000000000000004</v>
      </c>
      <c r="P25" s="11">
        <v>1088.81418181818</v>
      </c>
      <c r="Q25" s="16">
        <v>11.3780381818181</v>
      </c>
      <c r="R25" s="11">
        <v>22.7593904545454</v>
      </c>
      <c r="S25" s="7">
        <f t="shared" si="0"/>
        <v>1.1928565245065021</v>
      </c>
      <c r="T25" s="3"/>
      <c r="U25" s="3"/>
      <c r="V25" s="3"/>
    </row>
    <row r="26" spans="1:22">
      <c r="A26" s="3" t="s">
        <v>51</v>
      </c>
      <c r="B26" s="3">
        <v>12</v>
      </c>
      <c r="C26" s="3" t="s">
        <v>44</v>
      </c>
      <c r="D26" s="3">
        <v>3.5</v>
      </c>
      <c r="E26" s="16">
        <f>Table2[[#This Row],[Stable_Average_Pressure'[mbar']]]*100</f>
        <v>260225.00714285701</v>
      </c>
      <c r="F26" s="18">
        <f>Q26*S26/3600</f>
        <v>8.4875958225338038E-3</v>
      </c>
      <c r="G26" s="15">
        <f>K26*9.81/1000</f>
        <v>0.73771200000000015</v>
      </c>
      <c r="H26" s="5">
        <v>1.5</v>
      </c>
      <c r="I26" s="3">
        <v>2.75</v>
      </c>
      <c r="J26" s="3">
        <v>4.4000000000000004</v>
      </c>
      <c r="K26" s="3">
        <v>75.2</v>
      </c>
      <c r="L26" s="6">
        <f>K26/1000/D26</f>
        <v>2.1485714285714285E-2</v>
      </c>
      <c r="M26" s="3">
        <v>10</v>
      </c>
      <c r="N26" s="5">
        <f>PI()*(M26/2)^2-PI()*(I26/2)^2</f>
        <v>72.600242729051629</v>
      </c>
      <c r="O26" s="10">
        <f>J26/M26</f>
        <v>0.44000000000000006</v>
      </c>
      <c r="P26" s="11">
        <v>2602.2500714285702</v>
      </c>
      <c r="Q26" s="16">
        <v>25.535077142857102</v>
      </c>
      <c r="R26" s="11">
        <v>21.832967857142801</v>
      </c>
      <c r="S26" s="7">
        <f t="shared" si="0"/>
        <v>1.1966028060216338</v>
      </c>
      <c r="T26" s="3"/>
      <c r="U26" s="3"/>
      <c r="V26" s="3"/>
    </row>
    <row r="27" spans="1:22">
      <c r="A27" s="3" t="s">
        <v>52</v>
      </c>
      <c r="B27" s="3">
        <v>17</v>
      </c>
      <c r="C27" s="3" t="s">
        <v>53</v>
      </c>
      <c r="D27" s="3">
        <v>0.5</v>
      </c>
      <c r="E27" s="16">
        <f>Table2[[#This Row],[Stable_Average_Pressure'[mbar']]]*100</f>
        <v>49013.3653276771</v>
      </c>
      <c r="F27" s="18">
        <f>Q27*S27/3600</f>
        <v>2.3138724722988856E-3</v>
      </c>
      <c r="G27" s="15">
        <f>K27*9.81/1000</f>
        <v>0.21876300000000001</v>
      </c>
      <c r="H27" s="5">
        <v>4</v>
      </c>
      <c r="I27" s="3">
        <v>3.95</v>
      </c>
      <c r="J27" s="3">
        <v>5.4</v>
      </c>
      <c r="K27" s="5">
        <v>22.3</v>
      </c>
      <c r="L27" s="6">
        <f>K27/1000/D27</f>
        <v>4.4600000000000001E-2</v>
      </c>
      <c r="M27" s="3">
        <v>8</v>
      </c>
      <c r="N27" s="5">
        <f>PI()*(M27/2)^2-PI()*(I27/2)^2</f>
        <v>38.011307613028002</v>
      </c>
      <c r="O27" s="10">
        <f>J27/M27</f>
        <v>0.67500000000000004</v>
      </c>
      <c r="P27" s="11">
        <v>490.13365327677099</v>
      </c>
      <c r="Q27" s="16">
        <v>7.0086211895009596</v>
      </c>
      <c r="R27" s="11">
        <v>23.837126864715898</v>
      </c>
      <c r="S27" s="7">
        <f t="shared" si="0"/>
        <v>1.1885277681656399</v>
      </c>
      <c r="T27" s="3"/>
      <c r="U27" s="3"/>
      <c r="V27" s="3"/>
    </row>
    <row r="28" spans="1:22">
      <c r="A28" s="3" t="s">
        <v>54</v>
      </c>
      <c r="B28" s="3">
        <v>17</v>
      </c>
      <c r="C28" s="3" t="s">
        <v>53</v>
      </c>
      <c r="D28" s="3">
        <v>0.5</v>
      </c>
      <c r="E28" s="16">
        <f>Table2[[#This Row],[Stable_Average_Pressure'[mbar']]]*100</f>
        <v>208106.53388925997</v>
      </c>
      <c r="F28" s="18">
        <f>Q28*S28/3600</f>
        <v>7.0140466713542494E-3</v>
      </c>
      <c r="G28" s="15">
        <f>K28*9.81/1000</f>
        <v>0.21876300000000001</v>
      </c>
      <c r="H28" s="5">
        <v>4</v>
      </c>
      <c r="I28" s="3">
        <v>3.95</v>
      </c>
      <c r="J28" s="3">
        <v>5.4</v>
      </c>
      <c r="K28" s="5">
        <v>22.3</v>
      </c>
      <c r="L28" s="6">
        <f>K28/1000/D28</f>
        <v>4.4600000000000001E-2</v>
      </c>
      <c r="M28" s="3">
        <v>10</v>
      </c>
      <c r="N28" s="5">
        <f>PI()*(M28/2)^2-PI()*(I28/2)^2</f>
        <v>66.285641495336137</v>
      </c>
      <c r="O28" s="10">
        <f>J28/M28</f>
        <v>0.54</v>
      </c>
      <c r="P28" s="11">
        <v>2081.0653388925998</v>
      </c>
      <c r="Q28" s="16">
        <v>21.054447139984902</v>
      </c>
      <c r="R28" s="11">
        <v>21.169913750081999</v>
      </c>
      <c r="S28" s="7">
        <f t="shared" si="0"/>
        <v>1.1992985543145165</v>
      </c>
      <c r="T28" s="3"/>
      <c r="U28" s="3"/>
      <c r="V28" s="3"/>
    </row>
    <row r="29" spans="1:22">
      <c r="A29" s="3" t="s">
        <v>55</v>
      </c>
      <c r="B29" s="3">
        <v>18</v>
      </c>
      <c r="C29" s="3" t="s">
        <v>53</v>
      </c>
      <c r="D29" s="4">
        <v>1</v>
      </c>
      <c r="E29" s="16">
        <f>Table2[[#This Row],[Stable_Average_Pressure'[mbar']]]*100</f>
        <v>68992.926164446995</v>
      </c>
      <c r="F29" s="18">
        <f>Q29*S29/3600</f>
        <v>2.8060885846620787E-3</v>
      </c>
      <c r="G29" s="15">
        <f>K29*9.81/1000</f>
        <v>0.43752600000000003</v>
      </c>
      <c r="H29" s="5">
        <v>4</v>
      </c>
      <c r="I29" s="3">
        <v>3.95</v>
      </c>
      <c r="J29" s="3">
        <v>5.4</v>
      </c>
      <c r="K29" s="3">
        <v>44.6</v>
      </c>
      <c r="L29" s="6">
        <f>K29/1000/D29</f>
        <v>4.4600000000000001E-2</v>
      </c>
      <c r="M29" s="3">
        <v>8</v>
      </c>
      <c r="N29" s="5">
        <f>PI()*(M29/2)^2-PI()*(I29/2)^2</f>
        <v>38.011307613028002</v>
      </c>
      <c r="O29" s="10">
        <f>J29/M29</f>
        <v>0.67500000000000004</v>
      </c>
      <c r="P29" s="11">
        <v>689.92926164446999</v>
      </c>
      <c r="Q29" s="16">
        <v>8.48233980853907</v>
      </c>
      <c r="R29" s="11">
        <v>23.236724046106801</v>
      </c>
      <c r="S29" s="7">
        <f t="shared" si="0"/>
        <v>1.1909354179154674</v>
      </c>
      <c r="T29" s="3"/>
      <c r="U29" s="3"/>
      <c r="V29" s="3"/>
    </row>
    <row r="30" spans="1:22">
      <c r="A30" s="3" t="s">
        <v>56</v>
      </c>
      <c r="B30" s="3">
        <v>18</v>
      </c>
      <c r="C30" s="3" t="s">
        <v>53</v>
      </c>
      <c r="D30" s="4">
        <v>1</v>
      </c>
      <c r="E30" s="16">
        <f>Table2[[#This Row],[Stable_Average_Pressure'[mbar']]]*100</f>
        <v>245675.77050469798</v>
      </c>
      <c r="F30" s="18">
        <f>Q30*S30/3600</f>
        <v>8.3136409859283344E-3</v>
      </c>
      <c r="G30" s="15">
        <f>K30*9.81/1000</f>
        <v>0.43752600000000003</v>
      </c>
      <c r="H30" s="5">
        <v>4</v>
      </c>
      <c r="I30" s="3">
        <v>3.95</v>
      </c>
      <c r="J30" s="3">
        <v>5.4</v>
      </c>
      <c r="K30" s="3">
        <v>44.6</v>
      </c>
      <c r="L30" s="6">
        <f>K30/1000/D30</f>
        <v>4.4600000000000001E-2</v>
      </c>
      <c r="M30" s="3">
        <v>10</v>
      </c>
      <c r="N30" s="5">
        <f>PI()*(M30/2)^2-PI()*(I30/2)^2</f>
        <v>66.285641495336137</v>
      </c>
      <c r="O30" s="10">
        <f>J30/M30</f>
        <v>0.54</v>
      </c>
      <c r="P30" s="11">
        <v>2456.7577050469799</v>
      </c>
      <c r="Q30" s="16">
        <v>24.828314172120599</v>
      </c>
      <c r="R30" s="11">
        <v>19.669788795589302</v>
      </c>
      <c r="S30" s="7">
        <f t="shared" si="0"/>
        <v>1.2054425983923236</v>
      </c>
      <c r="T30" s="3"/>
      <c r="U30" s="3"/>
      <c r="V30" s="3"/>
    </row>
    <row r="31" spans="1:22">
      <c r="A31" s="3" t="s">
        <v>57</v>
      </c>
      <c r="B31" s="3">
        <v>19</v>
      </c>
      <c r="C31" s="3" t="s">
        <v>53</v>
      </c>
      <c r="D31" s="4">
        <v>2</v>
      </c>
      <c r="E31" s="16">
        <f>Table2[[#This Row],[Stable_Average_Pressure'[mbar']]]*100</f>
        <v>98975.516499999896</v>
      </c>
      <c r="F31" s="18">
        <f>Q31*S31/3600</f>
        <v>3.3936362740003443E-3</v>
      </c>
      <c r="G31" s="15">
        <f>K31*9.81/1000</f>
        <v>0.87309000000000003</v>
      </c>
      <c r="H31" s="5">
        <v>4</v>
      </c>
      <c r="I31" s="3">
        <v>3.95</v>
      </c>
      <c r="J31" s="3">
        <v>5.4</v>
      </c>
      <c r="K31" s="3">
        <v>89</v>
      </c>
      <c r="L31" s="6">
        <f>K31/1000/D31</f>
        <v>4.4499999999999998E-2</v>
      </c>
      <c r="M31" s="3">
        <v>8</v>
      </c>
      <c r="N31" s="5">
        <f>PI()*(M31/2)^2-PI()*(I31/2)^2</f>
        <v>38.011307613028002</v>
      </c>
      <c r="O31" s="10">
        <f>J31/M31</f>
        <v>0.67500000000000004</v>
      </c>
      <c r="P31" s="11">
        <v>989.75516499999901</v>
      </c>
      <c r="Q31" s="16">
        <v>10.215652499999999</v>
      </c>
      <c r="R31" s="11">
        <v>22.001690499999999</v>
      </c>
      <c r="S31" s="7">
        <f t="shared" si="0"/>
        <v>1.1959187713561361</v>
      </c>
      <c r="T31" s="3"/>
      <c r="U31" s="3"/>
      <c r="V31" s="3"/>
    </row>
    <row r="32" spans="1:22">
      <c r="A32" s="3"/>
      <c r="B32" s="3"/>
      <c r="C32" s="3"/>
      <c r="D32" s="4"/>
      <c r="E32" s="16">
        <f>Table2[[#This Row],[Stable_Average_Pressure'[mbar']]]*100</f>
        <v>0</v>
      </c>
      <c r="F32" s="18">
        <f>Q32*S32/3600</f>
        <v>0</v>
      </c>
      <c r="G32" s="15">
        <f>K32*9.81/1000</f>
        <v>0</v>
      </c>
      <c r="H32" s="5"/>
      <c r="I32" s="3"/>
      <c r="J32" s="3"/>
      <c r="K32" s="3"/>
      <c r="L32" s="6" t="e">
        <f>K32/1000/D32</f>
        <v>#DIV/0!</v>
      </c>
      <c r="M32" s="3"/>
      <c r="N32" s="5">
        <f>PI()*(M32/2)^2-PI()*(I32/2)^2</f>
        <v>0</v>
      </c>
      <c r="O32" s="10" t="e">
        <f>J32/M32</f>
        <v>#DIV/0!</v>
      </c>
      <c r="P32" s="11"/>
      <c r="Q32" s="16"/>
      <c r="R32" s="11"/>
      <c r="S32" s="7">
        <f>101325/(287.058*(273.15+R32))</f>
        <v>1.2922476553778017</v>
      </c>
      <c r="T32" s="3"/>
      <c r="U32" s="3"/>
      <c r="V32" s="3"/>
    </row>
    <row r="33" spans="1:22">
      <c r="A33" s="3" t="s">
        <v>58</v>
      </c>
      <c r="B33" s="3">
        <v>19</v>
      </c>
      <c r="C33" s="3" t="s">
        <v>53</v>
      </c>
      <c r="D33" s="4">
        <v>2</v>
      </c>
      <c r="E33" s="16">
        <f>Table2[[#This Row],[Stable_Average_Pressure'[mbar']]]*100</f>
        <v>291523.47602945002</v>
      </c>
      <c r="F33" s="18">
        <f>Q33*S33/3600</f>
        <v>9.3339176057084874E-3</v>
      </c>
      <c r="G33" s="15">
        <f>K33*9.81/1000</f>
        <v>0.87309000000000003</v>
      </c>
      <c r="H33" s="5">
        <v>4</v>
      </c>
      <c r="I33" s="3">
        <v>3.95</v>
      </c>
      <c r="J33" s="3">
        <v>5.4</v>
      </c>
      <c r="K33" s="3">
        <v>89</v>
      </c>
      <c r="L33" s="6">
        <f>K33/1000/D33</f>
        <v>4.4499999999999998E-2</v>
      </c>
      <c r="M33" s="3">
        <v>10</v>
      </c>
      <c r="N33" s="5">
        <f>PI()*(M33/2)^2-PI()*(I33/2)^2</f>
        <v>66.285641495336137</v>
      </c>
      <c r="O33" s="10">
        <f>J33/M33</f>
        <v>0.54</v>
      </c>
      <c r="P33" s="11">
        <v>2915.2347602945001</v>
      </c>
      <c r="Q33" s="16">
        <v>27.972515629898599</v>
      </c>
      <c r="R33" s="11">
        <v>20.6907469094009</v>
      </c>
      <c r="S33" s="7">
        <f t="shared" si="0"/>
        <v>1.2012542534656674</v>
      </c>
      <c r="T33" s="3"/>
      <c r="U33" s="3"/>
      <c r="V33" s="3"/>
    </row>
    <row r="34" spans="1:22">
      <c r="A34" s="3" t="s">
        <v>59</v>
      </c>
      <c r="B34" s="3">
        <v>20</v>
      </c>
      <c r="C34" s="3" t="s">
        <v>53</v>
      </c>
      <c r="D34" s="3">
        <v>3.5</v>
      </c>
      <c r="E34" s="16">
        <f>Table2[[#This Row],[Stable_Average_Pressure'[mbar']]]*100</f>
        <v>131798.801289236</v>
      </c>
      <c r="F34" s="18">
        <f>Q34*S34/3600</f>
        <v>3.7542673773537159E-3</v>
      </c>
      <c r="G34" s="15">
        <f>K34*9.81/1000</f>
        <v>1.7432370000000001</v>
      </c>
      <c r="H34" s="5">
        <v>4</v>
      </c>
      <c r="I34" s="3">
        <v>3.95</v>
      </c>
      <c r="J34" s="3">
        <v>5.4</v>
      </c>
      <c r="K34" s="3">
        <v>177.7</v>
      </c>
      <c r="L34" s="6">
        <f>K34/1000/D34</f>
        <v>5.0771428571428572E-2</v>
      </c>
      <c r="M34" s="3">
        <v>8</v>
      </c>
      <c r="N34" s="5">
        <f>PI()*(M34/2)^2-PI()*(I34/2)^2</f>
        <v>38.011307613028002</v>
      </c>
      <c r="O34" s="10">
        <f>J34/M34</f>
        <v>0.67500000000000004</v>
      </c>
      <c r="P34" s="11">
        <v>1317.9880128923601</v>
      </c>
      <c r="Q34" s="16">
        <v>11.331352955221501</v>
      </c>
      <c r="R34" s="11">
        <v>22.788197783330901</v>
      </c>
      <c r="S34" s="7">
        <f t="shared" si="0"/>
        <v>1.192740409012278</v>
      </c>
      <c r="T34" s="3"/>
      <c r="U34" s="3"/>
      <c r="V34" s="3"/>
    </row>
    <row r="35" spans="1:22">
      <c r="A35" s="3" t="s">
        <v>60</v>
      </c>
      <c r="B35" s="3">
        <v>20</v>
      </c>
      <c r="C35" s="3" t="s">
        <v>53</v>
      </c>
      <c r="D35" s="3">
        <v>3.5</v>
      </c>
      <c r="E35" s="16">
        <f>Table2[[#This Row],[Stable_Average_Pressure'[mbar']]]*100</f>
        <v>332859.45454545401</v>
      </c>
      <c r="F35" s="18">
        <f>Q35*S35/3600</f>
        <v>1.0114029442070238E-2</v>
      </c>
      <c r="G35" s="15">
        <f>K35*9.81/1000</f>
        <v>1.7432370000000001</v>
      </c>
      <c r="H35" s="5">
        <v>4</v>
      </c>
      <c r="I35" s="3">
        <v>3.95</v>
      </c>
      <c r="J35" s="3">
        <v>5.4</v>
      </c>
      <c r="K35" s="3">
        <v>177.7</v>
      </c>
      <c r="L35" s="6">
        <f>K35/1000/D35</f>
        <v>5.0771428571428572E-2</v>
      </c>
      <c r="M35" s="3">
        <v>10</v>
      </c>
      <c r="N35" s="5">
        <f>PI()*(M35/2)^2-PI()*(I35/2)^2</f>
        <v>66.285641495336137</v>
      </c>
      <c r="O35" s="10">
        <f>J35/M35</f>
        <v>0.54</v>
      </c>
      <c r="P35" s="11">
        <v>3328.5945454545399</v>
      </c>
      <c r="Q35" s="16">
        <v>30.3504209090909</v>
      </c>
      <c r="R35" s="11">
        <v>21.0786518181818</v>
      </c>
      <c r="S35" s="7">
        <f t="shared" si="0"/>
        <v>1.1996705449494038</v>
      </c>
      <c r="T35" s="3"/>
      <c r="U35" s="3"/>
      <c r="V35" s="3"/>
    </row>
    <row r="36" spans="1:22">
      <c r="A36" s="3" t="s">
        <v>61</v>
      </c>
      <c r="B36" s="3">
        <v>21</v>
      </c>
      <c r="C36" s="3" t="s">
        <v>62</v>
      </c>
      <c r="D36" s="3">
        <v>0.5</v>
      </c>
      <c r="E36" s="16">
        <f>Table2[[#This Row],[Stable_Average_Pressure'[mbar']]]*100</f>
        <v>25482.1095266169</v>
      </c>
      <c r="F36" s="18">
        <f>Q36*S36/3600</f>
        <v>1.3518925525581426E-3</v>
      </c>
      <c r="G36" s="15">
        <f>K36*9.81/1000</f>
        <v>0.30999600000000005</v>
      </c>
      <c r="H36" s="5">
        <v>6</v>
      </c>
      <c r="I36" s="3">
        <v>4.5</v>
      </c>
      <c r="J36" s="3">
        <v>6.5</v>
      </c>
      <c r="K36" s="3">
        <v>31.6</v>
      </c>
      <c r="L36" s="6">
        <f>K36/1000/D36</f>
        <v>6.3200000000000006E-2</v>
      </c>
      <c r="M36" s="3">
        <v>8</v>
      </c>
      <c r="N36" s="5">
        <f>PI()*(M36/2)^2-PI()*(I36/2)^2</f>
        <v>34.361169648638366</v>
      </c>
      <c r="O36" s="10">
        <f>J36/M36</f>
        <v>0.8125</v>
      </c>
      <c r="P36" s="11">
        <v>254.82109526616901</v>
      </c>
      <c r="Q36" s="16">
        <v>4.0977926604127699</v>
      </c>
      <c r="R36" s="11">
        <v>24.052365417916398</v>
      </c>
      <c r="S36" s="7">
        <f t="shared" si="0"/>
        <v>1.1876670179596349</v>
      </c>
      <c r="T36" s="3"/>
      <c r="U36" s="3"/>
      <c r="V36" s="3"/>
    </row>
    <row r="37" spans="1:22">
      <c r="A37" s="3" t="s">
        <v>63</v>
      </c>
      <c r="B37" s="3">
        <v>21</v>
      </c>
      <c r="C37" s="3" t="s">
        <v>62</v>
      </c>
      <c r="D37" s="3">
        <v>0.5</v>
      </c>
      <c r="E37" s="16">
        <f>Table2[[#This Row],[Stable_Average_Pressure'[mbar']]]*100</f>
        <v>133751.48917956799</v>
      </c>
      <c r="F37" s="18">
        <f>Q37*S37/3600</f>
        <v>5.1042973906785865E-3</v>
      </c>
      <c r="G37" s="15">
        <f>K37*9.81/1000</f>
        <v>0.30999600000000005</v>
      </c>
      <c r="H37" s="5">
        <v>6</v>
      </c>
      <c r="I37" s="3">
        <v>4.5</v>
      </c>
      <c r="J37" s="3">
        <v>6.5</v>
      </c>
      <c r="K37" s="3">
        <v>31.6</v>
      </c>
      <c r="L37" s="6">
        <f>K37/1000/D37</f>
        <v>6.3200000000000006E-2</v>
      </c>
      <c r="M37" s="3">
        <v>10</v>
      </c>
      <c r="N37" s="5">
        <f>PI()*(M37/2)^2-PI()*(I37/2)^2</f>
        <v>62.635503530946508</v>
      </c>
      <c r="O37" s="10">
        <f>J37/M37</f>
        <v>0.65</v>
      </c>
      <c r="P37" s="11">
        <v>1337.5148917956799</v>
      </c>
      <c r="Q37" s="16">
        <v>15.398064456753501</v>
      </c>
      <c r="R37" s="11">
        <v>22.633961027029802</v>
      </c>
      <c r="S37" s="7">
        <f t="shared" si="0"/>
        <v>1.1933623643446651</v>
      </c>
      <c r="T37" s="3"/>
      <c r="U37" s="3"/>
      <c r="V37" s="3"/>
    </row>
    <row r="38" spans="1:22">
      <c r="A38" s="3" t="s">
        <v>64</v>
      </c>
      <c r="B38" s="3">
        <v>22</v>
      </c>
      <c r="C38" s="3" t="s">
        <v>62</v>
      </c>
      <c r="D38" s="4">
        <v>1</v>
      </c>
      <c r="E38" s="16">
        <f>Table2[[#This Row],[Stable_Average_Pressure'[mbar']]]*100</f>
        <v>42913.765942804297</v>
      </c>
      <c r="F38" s="18">
        <f>Q38*S38/3600</f>
        <v>1.8082095518505397E-3</v>
      </c>
      <c r="G38" s="15">
        <f>K38*9.81/1000</f>
        <v>0.61606799999999995</v>
      </c>
      <c r="H38" s="5">
        <v>6</v>
      </c>
      <c r="I38" s="3">
        <v>4.5</v>
      </c>
      <c r="J38" s="3">
        <v>6.5</v>
      </c>
      <c r="K38" s="3">
        <v>62.8</v>
      </c>
      <c r="L38" s="6">
        <f>K38/1000/D38</f>
        <v>6.2799999999999995E-2</v>
      </c>
      <c r="M38" s="3">
        <v>8</v>
      </c>
      <c r="N38" s="5">
        <f>PI()*(M38/2)^2-PI()*(I38/2)^2</f>
        <v>34.361169648638366</v>
      </c>
      <c r="O38" s="10">
        <f>J38/M38</f>
        <v>0.8125</v>
      </c>
      <c r="P38" s="11">
        <v>429.13765942804298</v>
      </c>
      <c r="Q38" s="16">
        <v>5.4804341342751304</v>
      </c>
      <c r="R38" s="11">
        <v>24.0238977242389</v>
      </c>
      <c r="S38" s="7">
        <f t="shared" si="0"/>
        <v>1.1877807902024771</v>
      </c>
      <c r="T38" s="3"/>
      <c r="U38" s="3"/>
      <c r="V38" s="3"/>
    </row>
    <row r="39" spans="1:22">
      <c r="A39" s="3" t="s">
        <v>65</v>
      </c>
      <c r="B39" s="3">
        <v>22</v>
      </c>
      <c r="C39" s="3" t="s">
        <v>62</v>
      </c>
      <c r="D39" s="4">
        <v>1</v>
      </c>
      <c r="E39" s="16">
        <f>Table2[[#This Row],[Stable_Average_Pressure'[mbar']]]*100</f>
        <v>190541.442619262</v>
      </c>
      <c r="F39" s="18">
        <f>Q39*S39/3600</f>
        <v>6.7936510727696102E-3</v>
      </c>
      <c r="G39" s="15">
        <f>K39*9.81/1000</f>
        <v>0.61606799999999995</v>
      </c>
      <c r="H39" s="5">
        <v>6</v>
      </c>
      <c r="I39" s="3">
        <v>4.5</v>
      </c>
      <c r="J39" s="3">
        <v>6.5</v>
      </c>
      <c r="K39" s="3">
        <v>62.8</v>
      </c>
      <c r="L39" s="6">
        <f>K39/1000/D39</f>
        <v>6.2799999999999995E-2</v>
      </c>
      <c r="M39" s="3">
        <v>10</v>
      </c>
      <c r="N39" s="5">
        <f>PI()*(M39/2)^2-PI()*(I39/2)^2</f>
        <v>62.635503530946508</v>
      </c>
      <c r="O39" s="10">
        <f>J39/M39</f>
        <v>0.65</v>
      </c>
      <c r="P39" s="11">
        <v>1905.4144261926201</v>
      </c>
      <c r="Q39" s="16">
        <v>20.3617267173369</v>
      </c>
      <c r="R39" s="11">
        <v>20.720386301564499</v>
      </c>
      <c r="S39" s="7">
        <f t="shared" si="0"/>
        <v>1.2011330964945459</v>
      </c>
      <c r="T39" s="3"/>
      <c r="U39" s="3"/>
      <c r="V39" s="3"/>
    </row>
    <row r="40" spans="1:22">
      <c r="A40" s="3" t="s">
        <v>66</v>
      </c>
      <c r="B40" s="3">
        <v>23</v>
      </c>
      <c r="C40" s="3" t="s">
        <v>62</v>
      </c>
      <c r="D40" s="4">
        <v>2</v>
      </c>
      <c r="E40" s="16">
        <f>Table2[[#This Row],[Stable_Average_Pressure'[mbar']]]*100</f>
        <v>72877.7942665109</v>
      </c>
      <c r="F40" s="18">
        <f>Q40*S40/3600</f>
        <v>2.3573751014052259E-3</v>
      </c>
      <c r="G40" s="15">
        <f>K40*9.81/1000</f>
        <v>1.2262500000000001</v>
      </c>
      <c r="H40" s="5">
        <v>6</v>
      </c>
      <c r="I40" s="3">
        <v>4.5</v>
      </c>
      <c r="J40" s="3">
        <v>6.5</v>
      </c>
      <c r="K40" s="3">
        <v>125</v>
      </c>
      <c r="L40" s="6">
        <f>K40/1000/D40</f>
        <v>6.25E-2</v>
      </c>
      <c r="M40" s="3">
        <v>8</v>
      </c>
      <c r="N40" s="5">
        <f>PI()*(M40/2)^2-PI()*(I40/2)^2</f>
        <v>34.361169648638366</v>
      </c>
      <c r="O40" s="10">
        <f>J40/M40</f>
        <v>0.8125</v>
      </c>
      <c r="P40" s="11">
        <v>728.77794266510898</v>
      </c>
      <c r="Q40" s="16">
        <v>7.1209392885547302</v>
      </c>
      <c r="R40" s="11">
        <v>23.028171655944401</v>
      </c>
      <c r="S40" s="7">
        <f t="shared" si="0"/>
        <v>1.1917740091814837</v>
      </c>
      <c r="T40" s="3"/>
      <c r="U40" s="3"/>
      <c r="V40" s="3"/>
    </row>
    <row r="41" spans="1:22">
      <c r="A41" s="3" t="s">
        <v>67</v>
      </c>
      <c r="B41" s="3">
        <v>23</v>
      </c>
      <c r="C41" s="3" t="s">
        <v>62</v>
      </c>
      <c r="D41" s="4">
        <v>2</v>
      </c>
      <c r="E41" s="16">
        <f>Table2[[#This Row],[Stable_Average_Pressure'[mbar']]]*100</f>
        <v>253072.76835547699</v>
      </c>
      <c r="F41" s="18">
        <f>Q41*S41/3600</f>
        <v>8.2688436293943211E-3</v>
      </c>
      <c r="G41" s="15">
        <f>K41*9.81/1000</f>
        <v>1.2262500000000001</v>
      </c>
      <c r="H41" s="5">
        <v>6</v>
      </c>
      <c r="I41" s="3">
        <v>4.5</v>
      </c>
      <c r="J41" s="3">
        <v>6.5</v>
      </c>
      <c r="K41" s="3">
        <v>125</v>
      </c>
      <c r="L41" s="6">
        <f>K41/1000/D41</f>
        <v>6.25E-2</v>
      </c>
      <c r="M41" s="3">
        <v>10</v>
      </c>
      <c r="N41" s="5">
        <f>PI()*(M41/2)^2-PI()*(I41/2)^2</f>
        <v>62.635503530946508</v>
      </c>
      <c r="O41" s="10">
        <f>J41/M41</f>
        <v>0.65</v>
      </c>
      <c r="P41" s="11">
        <v>2530.72768355477</v>
      </c>
      <c r="Q41" s="16">
        <v>24.715708307747501</v>
      </c>
      <c r="R41" s="11">
        <v>19.920927579248598</v>
      </c>
      <c r="S41" s="7">
        <f t="shared" si="0"/>
        <v>1.2044096286930361</v>
      </c>
      <c r="T41" s="3"/>
      <c r="U41" s="3"/>
      <c r="V41" s="3"/>
    </row>
    <row r="42" spans="1:22">
      <c r="A42" s="3" t="s">
        <v>68</v>
      </c>
      <c r="B42" s="3">
        <v>24</v>
      </c>
      <c r="C42" s="3" t="s">
        <v>62</v>
      </c>
      <c r="D42" s="3">
        <v>3.5</v>
      </c>
      <c r="E42" s="16">
        <f>Table2[[#This Row],[Stable_Average_Pressure'[mbar']]]*100</f>
        <v>118249.035294117</v>
      </c>
      <c r="F42" s="18">
        <f>Q42*S42/3600</f>
        <v>2.9374853898733806E-3</v>
      </c>
      <c r="G42" s="15">
        <f>K42*9.81/1000</f>
        <v>2.4603480000000002</v>
      </c>
      <c r="H42" s="5">
        <v>6</v>
      </c>
      <c r="I42" s="3">
        <v>4.5</v>
      </c>
      <c r="J42" s="3">
        <v>6.5</v>
      </c>
      <c r="K42" s="3">
        <v>250.8</v>
      </c>
      <c r="L42" s="6">
        <f>K42/1000/D42</f>
        <v>7.1657142857142864E-2</v>
      </c>
      <c r="M42" s="3">
        <v>8</v>
      </c>
      <c r="N42" s="5">
        <f>PI()*(M42/2)^2-PI()*(I42/2)^2</f>
        <v>34.361169648638366</v>
      </c>
      <c r="O42" s="10">
        <f>J42/M42</f>
        <v>0.8125</v>
      </c>
      <c r="P42" s="11">
        <v>1182.4903529411699</v>
      </c>
      <c r="Q42" s="16">
        <v>8.8924925882352905</v>
      </c>
      <c r="R42" s="11">
        <v>23.66938</v>
      </c>
      <c r="S42" s="7">
        <f t="shared" si="0"/>
        <v>1.1891994621996937</v>
      </c>
      <c r="T42" s="3"/>
      <c r="U42" s="3"/>
      <c r="V42" s="3"/>
    </row>
    <row r="43" spans="1:22">
      <c r="A43" s="3" t="s">
        <v>69</v>
      </c>
      <c r="B43" s="3">
        <v>24</v>
      </c>
      <c r="C43" s="3" t="s">
        <v>62</v>
      </c>
      <c r="D43" s="3">
        <v>3.5</v>
      </c>
      <c r="E43" s="16">
        <f>Table2[[#This Row],[Stable_Average_Pressure'[mbar']]]*100</f>
        <v>337383.3</v>
      </c>
      <c r="F43" s="18">
        <f>Q43*S43/3600</f>
        <v>9.9946112307817535E-3</v>
      </c>
      <c r="G43" s="15">
        <f>K43*9.81/1000</f>
        <v>2.4603480000000002</v>
      </c>
      <c r="H43" s="5">
        <v>6</v>
      </c>
      <c r="I43" s="3">
        <v>4.5</v>
      </c>
      <c r="J43" s="3">
        <v>6.5</v>
      </c>
      <c r="K43" s="3">
        <v>250.8</v>
      </c>
      <c r="L43" s="6">
        <f>K43/1000/D43</f>
        <v>7.1657142857142864E-2</v>
      </c>
      <c r="M43" s="3">
        <v>10</v>
      </c>
      <c r="N43" s="5">
        <f>PI()*(M43/2)^2-PI()*(I43/2)^2</f>
        <v>62.635503530946508</v>
      </c>
      <c r="O43" s="10">
        <f>J43/M43</f>
        <v>0.65</v>
      </c>
      <c r="P43" s="11">
        <v>3373.8330000000001</v>
      </c>
      <c r="Q43" s="16">
        <v>29.914100000000001</v>
      </c>
      <c r="R43" s="11">
        <v>20.313769999999899</v>
      </c>
      <c r="S43" s="7">
        <f t="shared" si="0"/>
        <v>1.2027973574606727</v>
      </c>
    </row>
    <row r="44" spans="1:22">
      <c r="F44" s="17"/>
      <c r="Q44" s="2"/>
      <c r="S44" s="7"/>
    </row>
    <row r="46" spans="1:22">
      <c r="Q46" s="1" t="s">
        <v>70</v>
      </c>
    </row>
    <row r="47" spans="1:22">
      <c r="Q47" s="1" t="s">
        <v>71</v>
      </c>
      <c r="V47" s="2"/>
    </row>
    <row r="48" spans="1:22">
      <c r="Q48" s="1" t="s">
        <v>72</v>
      </c>
      <c r="S48" s="12"/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Yildirim, Suavi (FAPS)</dc:creator>
  <cp:keywords/>
  <dc:description/>
  <cp:lastModifiedBy>Gastbenutzer</cp:lastModifiedBy>
  <cp:revision/>
  <dcterms:created xsi:type="dcterms:W3CDTF">2026-07-22T14:56:15Z</dcterms:created>
  <dcterms:modified xsi:type="dcterms:W3CDTF">2026-09-07T08:45:11Z</dcterms:modified>
  <cp:category/>
  <cp:contentStatus/>
</cp:coreProperties>
</file>